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bt7r\OneDrive\Desktop\Adult Life\Work\Resume and Cover Letters\Projects and Experiences\Detailed Project Write-ups\Personal Projects\Swimming Contract\"/>
    </mc:Choice>
  </mc:AlternateContent>
  <xr:revisionPtr revIDLastSave="0" documentId="13_ncr:1_{44F5E73D-796F-4A78-8F39-BA9574BCB587}" xr6:coauthVersionLast="47" xr6:coauthVersionMax="47" xr10:uidLastSave="{00000000-0000-0000-0000-000000000000}"/>
  <bookViews>
    <workbookView xWindow="-120" yWindow="-120" windowWidth="19440" windowHeight="11520" tabRatio="768" xr2:uid="{11E08DC1-0960-4E50-8193-869FEDE415FD}"/>
  </bookViews>
  <sheets>
    <sheet name="Meet Results" sheetId="17" r:id="rId1"/>
    <sheet name="Sample Meet.pdf" sheetId="21" r:id="rId2"/>
  </sheets>
  <functionGroups builtInGroupCount="19"/>
  <definedNames>
    <definedName name="ExternalData_1" localSheetId="0" hidden="1">'Meet Results'!$A$1:$F$230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21" l="1"/>
  <c r="T14" i="21"/>
  <c r="P14" i="21"/>
  <c r="L14" i="21"/>
  <c r="H14" i="21"/>
  <c r="AA13" i="21"/>
  <c r="Z13" i="21"/>
  <c r="X13" i="21"/>
  <c r="W13" i="21"/>
  <c r="V13" i="21"/>
  <c r="T13" i="21"/>
  <c r="S13" i="21"/>
  <c r="R13" i="21"/>
  <c r="P13" i="21"/>
  <c r="O13" i="21"/>
  <c r="N13" i="21"/>
  <c r="L13" i="21"/>
  <c r="K13" i="21"/>
  <c r="J13" i="21"/>
  <c r="H13" i="21"/>
  <c r="BH7" i="21"/>
  <c r="AR7" i="21" s="1"/>
  <c r="AN7" i="21"/>
  <c r="AF7" i="21" s="1"/>
  <c r="AH7" i="21" s="1"/>
  <c r="AB7" i="21"/>
  <c r="T7" i="21" s="1"/>
  <c r="V7" i="21" s="1"/>
  <c r="P7" i="21"/>
  <c r="H7" i="21" s="1"/>
  <c r="J7" i="21" s="1"/>
  <c r="BO6" i="21"/>
  <c r="BL6" i="21" s="1"/>
  <c r="BM6" i="21" s="1"/>
  <c r="BK6" i="21"/>
  <c r="BH6" i="21" s="1"/>
  <c r="BI6" i="21" s="1"/>
  <c r="BG6" i="21"/>
  <c r="BD6" i="21" s="1"/>
  <c r="BE6" i="21" s="1"/>
  <c r="BC6" i="21"/>
  <c r="AZ6" i="21" s="1"/>
  <c r="BA6" i="21" s="1"/>
  <c r="AY6" i="21"/>
  <c r="AV6" i="21" s="1"/>
  <c r="AW6" i="21" s="1"/>
  <c r="AU6" i="21"/>
  <c r="AR6" i="21" s="1"/>
  <c r="AS6" i="21" s="1"/>
  <c r="AQ6" i="21"/>
  <c r="AN6" i="21" s="1"/>
  <c r="AO6" i="21" s="1"/>
  <c r="AM6" i="21"/>
  <c r="AJ6" i="21" s="1"/>
  <c r="AK6" i="21" s="1"/>
  <c r="AI6" i="21"/>
  <c r="AF6" i="21" s="1"/>
  <c r="AG6" i="21" s="1"/>
  <c r="AE6" i="21"/>
  <c r="AB6" i="21" s="1"/>
  <c r="AC6" i="21" s="1"/>
  <c r="AA6" i="21"/>
  <c r="X6" i="21" s="1"/>
  <c r="Y6" i="21" s="1"/>
  <c r="W6" i="21"/>
  <c r="T6" i="21" s="1"/>
  <c r="U6" i="21" s="1"/>
  <c r="S6" i="21"/>
  <c r="P6" i="21" s="1"/>
  <c r="Q6" i="21" s="1"/>
  <c r="O6" i="21"/>
  <c r="L6" i="21" s="1"/>
  <c r="M6" i="21" s="1"/>
  <c r="K6" i="21"/>
  <c r="H6" i="21" s="1"/>
  <c r="I6" i="21" s="1"/>
  <c r="BO5" i="21"/>
  <c r="BL5" i="21" s="1"/>
  <c r="BM5" i="21" s="1"/>
  <c r="BK5" i="21"/>
  <c r="BH5" i="21" s="1"/>
  <c r="BI5" i="21" s="1"/>
  <c r="BG5" i="21"/>
  <c r="BD5" i="21" s="1"/>
  <c r="BE5" i="21" s="1"/>
  <c r="BC5" i="21"/>
  <c r="AZ5" i="21" s="1"/>
  <c r="BA5" i="21" s="1"/>
  <c r="AY5" i="21"/>
  <c r="AV5" i="21" s="1"/>
  <c r="AW5" i="21" s="1"/>
  <c r="AU5" i="21"/>
  <c r="AR5" i="21" s="1"/>
  <c r="AS5" i="21" s="1"/>
  <c r="AQ5" i="21"/>
  <c r="AN5" i="21" s="1"/>
  <c r="AO5" i="21" s="1"/>
  <c r="AM5" i="21"/>
  <c r="AJ5" i="21" s="1"/>
  <c r="AK5" i="21" s="1"/>
  <c r="AI5" i="21"/>
  <c r="AF5" i="21" s="1"/>
  <c r="AG5" i="21" s="1"/>
  <c r="AE5" i="21"/>
  <c r="AB5" i="21" s="1"/>
  <c r="AC5" i="21" s="1"/>
  <c r="AA5" i="21"/>
  <c r="X5" i="21" s="1"/>
  <c r="Y5" i="21" s="1"/>
  <c r="W5" i="21"/>
  <c r="T5" i="21" s="1"/>
  <c r="U5" i="21" s="1"/>
  <c r="S5" i="21"/>
  <c r="P5" i="21" s="1"/>
  <c r="Q5" i="21" s="1"/>
  <c r="O5" i="21"/>
  <c r="L5" i="21" s="1"/>
  <c r="M5" i="21" s="1"/>
  <c r="K5" i="21"/>
  <c r="H5" i="21" s="1"/>
  <c r="I5" i="21" s="1"/>
  <c r="BO4" i="21"/>
  <c r="BL4" i="21" s="1"/>
  <c r="BM4" i="21" s="1"/>
  <c r="BK4" i="21"/>
  <c r="BH4" i="21" s="1"/>
  <c r="BI4" i="21" s="1"/>
  <c r="BG4" i="21"/>
  <c r="BD4" i="21" s="1"/>
  <c r="BE4" i="21" s="1"/>
  <c r="BC4" i="21"/>
  <c r="AZ4" i="21" s="1"/>
  <c r="BA4" i="21" s="1"/>
  <c r="AY4" i="21"/>
  <c r="AV4" i="21" s="1"/>
  <c r="AW4" i="21" s="1"/>
  <c r="AU4" i="21"/>
  <c r="AR4" i="21" s="1"/>
  <c r="AS4" i="21" s="1"/>
  <c r="AQ4" i="21"/>
  <c r="AN4" i="21" s="1"/>
  <c r="AO4" i="21" s="1"/>
  <c r="AM4" i="21"/>
  <c r="AJ4" i="21" s="1"/>
  <c r="AK4" i="21" s="1"/>
  <c r="AI4" i="21"/>
  <c r="AF4" i="21" s="1"/>
  <c r="AG4" i="21" s="1"/>
  <c r="AE4" i="21"/>
  <c r="AB4" i="21" s="1"/>
  <c r="AC4" i="21" s="1"/>
  <c r="AA4" i="21"/>
  <c r="X4" i="21" s="1"/>
  <c r="Y4" i="21" s="1"/>
  <c r="W4" i="21"/>
  <c r="T4" i="21" s="1"/>
  <c r="U4" i="21" s="1"/>
  <c r="S4" i="21"/>
  <c r="P4" i="21" s="1"/>
  <c r="Q4" i="21" s="1"/>
  <c r="O4" i="21"/>
  <c r="L4" i="21" s="1"/>
  <c r="M4" i="21" s="1"/>
  <c r="K4" i="21"/>
  <c r="H4" i="21" s="1"/>
  <c r="I4" i="21" s="1"/>
  <c r="AR8" i="21" l="1"/>
  <c r="H8" i="21" s="1"/>
  <c r="T8" i="21" s="1"/>
  <c r="AV7" i="2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16ACA41-7D1A-464C-B92A-D681C9CBBB13}" keepAlive="1" name="Query - Data Folder Path" description="Connection to the 'Data Folder Path' query in the workbook." type="5" refreshedVersion="0" background="1">
    <dbPr connection="Provider=Microsoft.Mashup.OleDb.1;Data Source=$Workbook$;Location=&quot;Data Folder Path&quot;;Extended Properties=&quot;&quot;" command="SELECT * FROM [Data Folder Path]"/>
  </connection>
  <connection id="2" xr16:uid="{9267A23B-FD3A-45E1-B403-2200B0375A41}" keepAlive="1" name="Query - File Parameter" description="Connection to the 'File Parameter' query in the workbook." type="5" refreshedVersion="0" background="1">
    <dbPr connection="Provider=Microsoft.Mashup.OleDb.1;Data Source=$Workbook$;Location=&quot;File Parameter&quot;;Extended Properties=&quot;&quot;" command="SELECT * FROM [File Parameter]"/>
  </connection>
  <connection id="3" xr16:uid="{71719B75-DAB2-41E7-A671-05A25AA72021}" keepAlive="1" name="Query - Meet Results" description="Connection to the 'Meet Results' query in the workbook." type="5" refreshedVersion="8" background="1" saveData="1">
    <dbPr connection="Provider=Microsoft.Mashup.OleDb.1;Data Source=$Workbook$;Location=&quot;Meet Results&quot;;Extended Properties=&quot;&quot;" command="SELECT * FROM [Meet Results]"/>
  </connection>
  <connection id="4" xr16:uid="{1520A334-108F-4BC1-A8DE-792A469085AE}" keepAlive="1" name="Query - Sample File" description="Connection to the 'Sample File' query in the workbook." type="5" refreshedVersion="8" background="1" saveData="1">
    <dbPr connection="Provider=Microsoft.Mashup.OleDb.1;Data Source=$Workbook$;Location=&quot;Sample File&quot;;Extended Properties=&quot;&quot;" command="SELECT * FROM [Sample File]"/>
  </connection>
  <connection id="5" xr16:uid="{0FEC4FE5-16F3-4078-9D8B-CF48D3F3851D}" keepAlive="1" name="Query - Template PDF" description="Connection to the 'Template PDF' query in the workbook." type="5" refreshedVersion="0" background="1">
    <dbPr connection="Provider=Microsoft.Mashup.OleDb.1;Data Source=$Workbook$;Location=&quot;Template PDF&quot;;Extended Properties=&quot;&quot;" command="SELECT * FROM [Template PDF]"/>
  </connection>
  <connection id="6" xr16:uid="{9A0E9300-6DB6-4264-9950-89440789C50D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7" xr16:uid="{CAB03A51-40E2-445E-87BA-08984FA9DD7E}" keepAlive="1" name="Query - Transform Sample File" description="Connection to the 'Transform Sample File' query in the workbook." type="5" refreshedVersion="8" background="1" saveData="1">
    <dbPr connection="Provider=Microsoft.Mashup.OleDb.1;Data Source=$Workbook$;Location=&quot;Transform Sample File&quot;;Extended Properties=&quot;&quot;" command="SELECT * FROM [Transform Sample File]"/>
  </connection>
</connections>
</file>

<file path=xl/sharedStrings.xml><?xml version="1.0" encoding="utf-8"?>
<sst xmlns="http://schemas.openxmlformats.org/spreadsheetml/2006/main" count="1935" uniqueCount="410">
  <si>
    <t>18:29.67</t>
  </si>
  <si>
    <t>F # 4 Male 14 - 15 1500 Free</t>
  </si>
  <si>
    <t>5</t>
  </si>
  <si>
    <t>14</t>
  </si>
  <si>
    <t>02:05.77</t>
  </si>
  <si>
    <t>F # 6 Male &amp; Under 200 Free</t>
  </si>
  <si>
    <t>02:05.26</t>
  </si>
  <si>
    <t>F # 8 Male 14 - 15 200 Free</t>
  </si>
  <si>
    <t>18</t>
  </si>
  <si>
    <t>7</t>
  </si>
  <si>
    <t>02:06.86</t>
  </si>
  <si>
    <t>P # 8 Male 14 - 15 200 Free</t>
  </si>
  <si>
    <t>3</t>
  </si>
  <si>
    <t>00:31.41</t>
  </si>
  <si>
    <t>P # 10 Male 14 - 15 50 Fly</t>
  </si>
  <si>
    <t>20</t>
  </si>
  <si>
    <t>00:31.72</t>
  </si>
  <si>
    <t>F # 14 Male 14 - 15 50 Back</t>
  </si>
  <si>
    <t>22</t>
  </si>
  <si>
    <t>12</t>
  </si>
  <si>
    <t>00:31.59</t>
  </si>
  <si>
    <t>P # 14 Male 14 - 15 50 Back</t>
  </si>
  <si>
    <t>6</t>
  </si>
  <si>
    <t>00:57.77</t>
  </si>
  <si>
    <t>F # 20 Male 15 &amp; Over 100 Free</t>
  </si>
  <si>
    <t>00:26.28</t>
  </si>
  <si>
    <t>F # 22 Male 14 - 15 50 Free</t>
  </si>
  <si>
    <t>4</t>
  </si>
  <si>
    <t>15</t>
  </si>
  <si>
    <t>00:26.55</t>
  </si>
  <si>
    <t>P # 22 Male 14 - 15 50 Free</t>
  </si>
  <si>
    <t>04:28.13</t>
  </si>
  <si>
    <t>F # 30 Male 14 - 15 400 Free</t>
  </si>
  <si>
    <t>2</t>
  </si>
  <si>
    <t>30</t>
  </si>
  <si>
    <t>04:29.79</t>
  </si>
  <si>
    <t>P # 30 Male 14 - 15 400 Free</t>
  </si>
  <si>
    <t>1</t>
  </si>
  <si>
    <t>00:57.57</t>
  </si>
  <si>
    <t>F # 38 Male 14 - 15 100 Free</t>
  </si>
  <si>
    <t>Name</t>
  </si>
  <si>
    <t>00:57.90</t>
  </si>
  <si>
    <t>P # 38 Male 14 - 15 100 Free</t>
  </si>
  <si>
    <t>00:33.64</t>
  </si>
  <si>
    <t>F # 42 Male 14 - 15 50 Breast</t>
  </si>
  <si>
    <t>00:32.98</t>
  </si>
  <si>
    <t>P # 42 Male 14 - 15 50 Breast</t>
  </si>
  <si>
    <t>Disqualified</t>
  </si>
  <si>
    <t>P # 8 Male 13 &amp; Under 200 Free</t>
  </si>
  <si>
    <t>00:42.14</t>
  </si>
  <si>
    <t>P # 14 Male 13 &amp; Under 50 Back</t>
  </si>
  <si>
    <t>00:34.99</t>
  </si>
  <si>
    <t>P # 22 Male 13 &amp; Under 50 Free</t>
  </si>
  <si>
    <t>06:02.95</t>
  </si>
  <si>
    <t>P # 30 Male 13 &amp; Under 400 Free</t>
  </si>
  <si>
    <t>19</t>
  </si>
  <si>
    <t>03:14.02</t>
  </si>
  <si>
    <t>P # 36 Male 13 &amp; Under 200 Medley</t>
  </si>
  <si>
    <t>01:30.52</t>
  </si>
  <si>
    <t>P # 44 Male 13 &amp; Under 100 Back</t>
  </si>
  <si>
    <t>00:28.48</t>
  </si>
  <si>
    <t>F # 10 Male 16 &amp; Over 50 Fly</t>
  </si>
  <si>
    <t>00:28.66</t>
  </si>
  <si>
    <t>P # 10 Male 16 &amp; Over 50 Fly</t>
  </si>
  <si>
    <t>16</t>
  </si>
  <si>
    <t>00:30.63</t>
  </si>
  <si>
    <t>F # 14 Male 16 &amp; Over 50 Back</t>
  </si>
  <si>
    <t>00:30.21</t>
  </si>
  <si>
    <t>P # 14 Male 16 &amp; Over 50 Back</t>
  </si>
  <si>
    <t>8</t>
  </si>
  <si>
    <t>02:50.07</t>
  </si>
  <si>
    <t>F # 16 Male 16 &amp; Over 200 Breast</t>
  </si>
  <si>
    <t>02:52.48</t>
  </si>
  <si>
    <t>P # 16 Male 16 &amp; Over 200 Breast</t>
  </si>
  <si>
    <t>02:24.18</t>
  </si>
  <si>
    <t>F # 24 Male 16 &amp; Over 200 Back</t>
  </si>
  <si>
    <t>02:27.46</t>
  </si>
  <si>
    <t>P # 24 Male 16 &amp; Over 200 Back</t>
  </si>
  <si>
    <t>01:04.50</t>
  </si>
  <si>
    <t>F # 28 Male 16 &amp; Over 100 Fly</t>
  </si>
  <si>
    <t>01:05.19</t>
  </si>
  <si>
    <t>P # 28 Male 16 &amp; Over 100 Fly</t>
  </si>
  <si>
    <t>9</t>
  </si>
  <si>
    <t>01:05.79</t>
  </si>
  <si>
    <t>F # 33 Male 15 &amp; Over 100 Back</t>
  </si>
  <si>
    <t>02:24.32</t>
  </si>
  <si>
    <t>F # 36 Male 16 &amp; Over 200 Medley</t>
  </si>
  <si>
    <t>13</t>
  </si>
  <si>
    <t>02:25.24</t>
  </si>
  <si>
    <t>P # 36 Male 16 &amp; Over 200 Medley</t>
  </si>
  <si>
    <t>00:36.28</t>
  </si>
  <si>
    <t>P # 42 Male 16 &amp; Over 50 Breast</t>
  </si>
  <si>
    <t>01:05.64</t>
  </si>
  <si>
    <t>F # 44 Male 16 &amp; Over 100 Back</t>
  </si>
  <si>
    <t>01:06.79</t>
  </si>
  <si>
    <t>P # 44 Male 16 &amp; Over 100 Back</t>
  </si>
  <si>
    <t>10:49.13</t>
  </si>
  <si>
    <t>F # 2 Male 13 &amp; Under 800 Free</t>
  </si>
  <si>
    <t>02:29.31</t>
  </si>
  <si>
    <t>05:58.69</t>
  </si>
  <si>
    <t>F # 12 Male 13 &amp; Under 400 Medley</t>
  </si>
  <si>
    <t>06:06.43</t>
  </si>
  <si>
    <t>P # 12 Male 13 &amp; Under 400 Medley</t>
  </si>
  <si>
    <t>02:41.41</t>
  </si>
  <si>
    <t>F # 24 Male 13 &amp; Under 200 Back</t>
  </si>
  <si>
    <t>02:43.67</t>
  </si>
  <si>
    <t>P # 24 Male 13 &amp; Under 200 Back</t>
  </si>
  <si>
    <t>05:10.22</t>
  </si>
  <si>
    <t>F # 30 Male 13 &amp; Under 400 Free</t>
  </si>
  <si>
    <t>05:14.13</t>
  </si>
  <si>
    <t>P # 38 Male 13 &amp; Under 100 Free</t>
  </si>
  <si>
    <t>00:43.02</t>
  </si>
  <si>
    <t>P # 42 Male 13 &amp; Under 50 Breast</t>
  </si>
  <si>
    <t>01:18.16</t>
  </si>
  <si>
    <t>02:46.93</t>
  </si>
  <si>
    <t>P # 7 Female 12 &amp; Under 200 Free</t>
  </si>
  <si>
    <t>00:35.03</t>
  </si>
  <si>
    <t>F # 9 Female 12 &amp; Under 50 Fly</t>
  </si>
  <si>
    <t>11</t>
  </si>
  <si>
    <t>00:35.20</t>
  </si>
  <si>
    <t>P # 9 Female 12 &amp; Under 50 Fly</t>
  </si>
  <si>
    <t>00:32.88</t>
  </si>
  <si>
    <t>P # 21 Female 12 &amp; Under 50 Free</t>
  </si>
  <si>
    <t>05:55.61</t>
  </si>
  <si>
    <t>P # 29 Female 12 &amp; Under 400 Free</t>
  </si>
  <si>
    <t>03:05.63</t>
  </si>
  <si>
    <t>P # 35 Female 12 &amp; Under 200 Medley</t>
  </si>
  <si>
    <t>01:27.20</t>
  </si>
  <si>
    <t>P # 43 Female 12 &amp; Under 100 Back</t>
  </si>
  <si>
    <t>18:59.40</t>
  </si>
  <si>
    <t>F # 1 Female 15 &amp; Over 1500 Free</t>
  </si>
  <si>
    <t>00:30.79</t>
  </si>
  <si>
    <t>F # 9 Female 15 &amp; Over 50 Fly</t>
  </si>
  <si>
    <t>00:30.62</t>
  </si>
  <si>
    <t>P # 9 Female 15 &amp; Over 50 Fly</t>
  </si>
  <si>
    <t>00:31.86</t>
  </si>
  <si>
    <t>F # 13 Female 15 &amp; Over 50 Back</t>
  </si>
  <si>
    <t>00:32.03</t>
  </si>
  <si>
    <t>P # 13 Female 15 &amp; Over 50 Back</t>
  </si>
  <si>
    <t>01:04.77</t>
  </si>
  <si>
    <t>F # 19 Female 15 &amp; Over 100 Free</t>
  </si>
  <si>
    <t>F # 23 Female 15 &amp; Over 200 Back</t>
  </si>
  <si>
    <t>02:31.40</t>
  </si>
  <si>
    <t>P # 23 Female 15 &amp; Over 200 Back</t>
  </si>
  <si>
    <t>01:10.24</t>
  </si>
  <si>
    <t>F # 27 Female 15 &amp; Over 100 Fly</t>
  </si>
  <si>
    <t>01:10.91</t>
  </si>
  <si>
    <t>P # 27 Female 15 &amp; Over 100 Fly</t>
  </si>
  <si>
    <t>NoShow</t>
  </si>
  <si>
    <t>P # 35 Female 15 &amp; Over 200 Medley</t>
  </si>
  <si>
    <t>P # 43 Female 15 &amp; Over 100 Back</t>
  </si>
  <si>
    <t>12:18.92</t>
  </si>
  <si>
    <t>10</t>
  </si>
  <si>
    <t>02:45.98</t>
  </si>
  <si>
    <t>24</t>
  </si>
  <si>
    <t>06:38.16</t>
  </si>
  <si>
    <t>02:56.17</t>
  </si>
  <si>
    <t>01:37.80</t>
  </si>
  <si>
    <t>P # 26 Male 13 &amp; Under 100 Breast</t>
  </si>
  <si>
    <t>01:13.30</t>
  </si>
  <si>
    <t>00:41.96</t>
  </si>
  <si>
    <t>01:20.20</t>
  </si>
  <si>
    <t>18:25.31</t>
  </si>
  <si>
    <t>02:38.47</t>
  </si>
  <si>
    <t>F # 16 Male 14 - 15 200 Breast</t>
  </si>
  <si>
    <t>02:40.25</t>
  </si>
  <si>
    <t>P # 16 Male 14 - 15 200 Breast</t>
  </si>
  <si>
    <t>00:27.84</t>
  </si>
  <si>
    <t>01:14.02</t>
  </si>
  <si>
    <t>F # 26 Male 14 - 15 100 Breast</t>
  </si>
  <si>
    <t>01:14.43</t>
  </si>
  <si>
    <t>P # 26 Male 14 - 15 100 Breast</t>
  </si>
  <si>
    <t>04:48.50</t>
  </si>
  <si>
    <t>04:39.48</t>
  </si>
  <si>
    <t>02:26.66</t>
  </si>
  <si>
    <t>F # 36 Male 14 - 15 200 Medley</t>
  </si>
  <si>
    <t>02:23.10</t>
  </si>
  <si>
    <t>P # 36 Male 14 - 15 200 Medley</t>
  </si>
  <si>
    <t>00:34.76</t>
  </si>
  <si>
    <t>00:33.57</t>
  </si>
  <si>
    <t>02:50.34</t>
  </si>
  <si>
    <t>F # 5 Female &amp; Under 200 Free</t>
  </si>
  <si>
    <t>00:33.56</t>
  </si>
  <si>
    <t>03:10.75</t>
  </si>
  <si>
    <t>P # 23 Female 12 &amp; Under 200 Back</t>
  </si>
  <si>
    <t>01:45.73</t>
  </si>
  <si>
    <t>P # 25 Female 12 &amp; Under 100 Breast</t>
  </si>
  <si>
    <t>17</t>
  </si>
  <si>
    <t>01:16.65</t>
  </si>
  <si>
    <t>P # 37 Female 12 &amp; Under 100 Free</t>
  </si>
  <si>
    <t>00:47.06</t>
  </si>
  <si>
    <t>P # 41 Female 12 &amp; Under 50 Breast</t>
  </si>
  <si>
    <t>01:32.24</t>
  </si>
  <si>
    <t>00:34.01</t>
  </si>
  <si>
    <t>33</t>
  </si>
  <si>
    <t>02:38.70</t>
  </si>
  <si>
    <t>02:39.21</t>
  </si>
  <si>
    <t>00:37.08</t>
  </si>
  <si>
    <t>F # 41 Female 15 &amp; Over 50 Breast</t>
  </si>
  <si>
    <t>00:37.52</t>
  </si>
  <si>
    <t>P # 41 Female 15 &amp; Over 50 Breast</t>
  </si>
  <si>
    <t>01:15.36</t>
  </si>
  <si>
    <t>F # 43 Female 15 &amp; Over 100 Back</t>
  </si>
  <si>
    <t>01:15.77</t>
  </si>
  <si>
    <t>09:09.30</t>
  </si>
  <si>
    <t>F # 2 Male 16 &amp; Over 800 Free</t>
  </si>
  <si>
    <t>50</t>
  </si>
  <si>
    <t>00:27.17</t>
  </si>
  <si>
    <t>00:26.93</t>
  </si>
  <si>
    <t>04:52.60</t>
  </si>
  <si>
    <t>F # 12 Male 16 &amp; Over 400 Medley</t>
  </si>
  <si>
    <t>04:51.74</t>
  </si>
  <si>
    <t>P # 12 Male 16 &amp; Over 400 Medley</t>
  </si>
  <si>
    <t>00:26.17</t>
  </si>
  <si>
    <t>F # 22 Male 16 &amp; Over 50 Free</t>
  </si>
  <si>
    <t>00:26.50</t>
  </si>
  <si>
    <t>P # 22 Male 16 &amp; Over 50 Free</t>
  </si>
  <si>
    <t>00:59.86</t>
  </si>
  <si>
    <t>01:00.70</t>
  </si>
  <si>
    <t>04:20.49</t>
  </si>
  <si>
    <t>F # 30 Male 16 &amp; Over 400 Free</t>
  </si>
  <si>
    <t>04:25.38</t>
  </si>
  <si>
    <t>P # 30 Male 16 &amp; Over 400 Free</t>
  </si>
  <si>
    <t>02:16.42</t>
  </si>
  <si>
    <t>02:20.91</t>
  </si>
  <si>
    <t>02:14.90</t>
  </si>
  <si>
    <t>F # 40 Male 16 &amp; Over 200 Fly</t>
  </si>
  <si>
    <t>02:21.78</t>
  </si>
  <si>
    <t>P # 40 Male 16 &amp; Over 200 Fly</t>
  </si>
  <si>
    <t>00:34.33</t>
  </si>
  <si>
    <t>00:34.25</t>
  </si>
  <si>
    <t>00:39.64</t>
  </si>
  <si>
    <t>F # 13 Female 12 &amp; Under 50 Back</t>
  </si>
  <si>
    <t>00:37.96</t>
  </si>
  <si>
    <t>P # 13 Female 12 &amp; Under 50 Back</t>
  </si>
  <si>
    <t>03:19.65</t>
  </si>
  <si>
    <t>F # 15 Female 12 &amp; Under 200 Breast</t>
  </si>
  <si>
    <t>29</t>
  </si>
  <si>
    <t>03:20.48</t>
  </si>
  <si>
    <t>P # 15 Female 12 &amp; Under 200 Breast</t>
  </si>
  <si>
    <t>03:07.51</t>
  </si>
  <si>
    <t>01:31.43</t>
  </si>
  <si>
    <t>F # 25 Female 12 &amp; Under 100 Breast</t>
  </si>
  <si>
    <t>01:34.61</t>
  </si>
  <si>
    <t>03:03.18</t>
  </si>
  <si>
    <t>00:42.81</t>
  </si>
  <si>
    <t>F # 41 Female 12 &amp; Under 50 Breast</t>
  </si>
  <si>
    <t>00:42.09</t>
  </si>
  <si>
    <t>10:00.21</t>
  </si>
  <si>
    <t>00:29.52</t>
  </si>
  <si>
    <t>F # 10 Male 13 &amp; Under 50 Fly</t>
  </si>
  <si>
    <t>00:29.64</t>
  </si>
  <si>
    <t>P # 10 Male 13 &amp; Under 50 Fly</t>
  </si>
  <si>
    <t>02:37.06</t>
  </si>
  <si>
    <t>F # 16 Male 13 &amp; Under 200 Breast</t>
  </si>
  <si>
    <t>P # 16 Male 13 &amp; Under 200 Breast</t>
  </si>
  <si>
    <t>00:27.79</t>
  </si>
  <si>
    <t>F # 22 Male 13 &amp; Under 50 Free</t>
  </si>
  <si>
    <t>00:27.97</t>
  </si>
  <si>
    <t>01:14.57</t>
  </si>
  <si>
    <t>F # 26 Male 13 &amp; Under 100 Breast</t>
  </si>
  <si>
    <t>01:13.13</t>
  </si>
  <si>
    <t>04:42.89</t>
  </si>
  <si>
    <t>04:48.96</t>
  </si>
  <si>
    <t>01:00.73</t>
  </si>
  <si>
    <t>F # 38 Male 13 &amp; Under 100 Free</t>
  </si>
  <si>
    <t>01:02.16</t>
  </si>
  <si>
    <t>00:32.59</t>
  </si>
  <si>
    <t>F # 42 Male 13 &amp; Under 50 Breast</t>
  </si>
  <si>
    <t>00:33.00</t>
  </si>
  <si>
    <t>23:24.33</t>
  </si>
  <si>
    <t>F # 1 Female 12 &amp; Under 1500 Free</t>
  </si>
  <si>
    <t>06:24.95</t>
  </si>
  <si>
    <t>F # 11 Female 12 &amp; Under 400 Medley</t>
  </si>
  <si>
    <t>06:30.24</t>
  </si>
  <si>
    <t>P # 11 Female 12 &amp; Under 400 Medley</t>
  </si>
  <si>
    <t>02:56.65</t>
  </si>
  <si>
    <t>F # 23 Female 12 &amp; Under 200 Back</t>
  </si>
  <si>
    <t>02:56.63</t>
  </si>
  <si>
    <t>05:47.66</t>
  </si>
  <si>
    <t>01:25.36</t>
  </si>
  <si>
    <t>F # 32 Female 14 &amp; Under 100 Back</t>
  </si>
  <si>
    <t>03:18.75</t>
  </si>
  <si>
    <t>F # 39 Female 12 &amp; Under 200 Fly</t>
  </si>
  <si>
    <t>03:22.35</t>
  </si>
  <si>
    <t>P # 39 Female 12 &amp; Under 200 Fly</t>
  </si>
  <si>
    <t>01:25.43</t>
  </si>
  <si>
    <t>02:20.08</t>
  </si>
  <si>
    <t>F # 7 Female 15 &amp; Over 200 Free</t>
  </si>
  <si>
    <t>02:20.51</t>
  </si>
  <si>
    <t>P # 7 Female 15 &amp; Over 200 Free</t>
  </si>
  <si>
    <t>00:30.15</t>
  </si>
  <si>
    <t>00:30.61</t>
  </si>
  <si>
    <t>00:35.08</t>
  </si>
  <si>
    <t>00:29.53</t>
  </si>
  <si>
    <t>F # 21 Female 15 &amp; Over 50 Free</t>
  </si>
  <si>
    <t>00:29.55</t>
  </si>
  <si>
    <t>P # 21 Female 15 &amp; Over 50 Free</t>
  </si>
  <si>
    <t>01:06.53</t>
  </si>
  <si>
    <t>01:07.49</t>
  </si>
  <si>
    <t>01:04.68</t>
  </si>
  <si>
    <t>P # 37 Female 15 &amp; Over 100 Free</t>
  </si>
  <si>
    <t>02:32.47</t>
  </si>
  <si>
    <t>F # 39 Female 15 &amp; Over 200 Fly</t>
  </si>
  <si>
    <t>02:35.11</t>
  </si>
  <si>
    <t>P # 39 Female 15 &amp; Over 200 Fly</t>
  </si>
  <si>
    <t>10:24.06</t>
  </si>
  <si>
    <t>00:32.75</t>
  </si>
  <si>
    <t>00:32.23</t>
  </si>
  <si>
    <t>F # 14 Male 13 &amp; Under 50 Back</t>
  </si>
  <si>
    <t>00:31.96</t>
  </si>
  <si>
    <t>01:05.75</t>
  </si>
  <si>
    <t>F # 18 Male 14 &amp; Under 100 Free</t>
  </si>
  <si>
    <t>00:28.76</t>
  </si>
  <si>
    <t>00:28.69</t>
  </si>
  <si>
    <t>02:31.42</t>
  </si>
  <si>
    <t>02:33.33</t>
  </si>
  <si>
    <t>01:21.80</t>
  </si>
  <si>
    <t>01:22.24</t>
  </si>
  <si>
    <t>01:10.82</t>
  </si>
  <si>
    <t>F # 31 Male 14 &amp; Under 100 Back</t>
  </si>
  <si>
    <t>02:35.76</t>
  </si>
  <si>
    <t>F # 36 Male 13 &amp; Under 200 Medley</t>
  </si>
  <si>
    <t>02:38.95</t>
  </si>
  <si>
    <t>01:09.16</t>
  </si>
  <si>
    <t>F # 44 Male 13 &amp; Under 100 Back</t>
  </si>
  <si>
    <t>01:09.88</t>
  </si>
  <si>
    <t>10:01.02</t>
  </si>
  <si>
    <t>F # 2 Male 14 - 15 800 Free</t>
  </si>
  <si>
    <t>19:13.08</t>
  </si>
  <si>
    <t>02:24.92</t>
  </si>
  <si>
    <t>02:21.31</t>
  </si>
  <si>
    <t>27</t>
  </si>
  <si>
    <t>00:36.67</t>
  </si>
  <si>
    <t>02:41.44</t>
  </si>
  <si>
    <t>F # 24 Male 14 - 15 200 Back</t>
  </si>
  <si>
    <t>21</t>
  </si>
  <si>
    <t>02:45.33</t>
  </si>
  <si>
    <t>P # 24 Male 14 - 15 200 Back</t>
  </si>
  <si>
    <t>04:48.94</t>
  </si>
  <si>
    <t>02:41.86</t>
  </si>
  <si>
    <t>00:40.37</t>
  </si>
  <si>
    <t>10:39.15</t>
  </si>
  <si>
    <t>F # 3 Female 12 &amp; Under 800 Free</t>
  </si>
  <si>
    <t>02:28.86</t>
  </si>
  <si>
    <t>F # 7 Female 12 &amp; Under 200 Free</t>
  </si>
  <si>
    <t>02:31.55</t>
  </si>
  <si>
    <t>06:01.43</t>
  </si>
  <si>
    <t>06:13.81</t>
  </si>
  <si>
    <t>F # 17 Female 14 &amp; Under 100 Free</t>
  </si>
  <si>
    <t>00:30.41</t>
  </si>
  <si>
    <t>F # 21 Female 12 &amp; Under 50 Free</t>
  </si>
  <si>
    <t>00:31.22</t>
  </si>
  <si>
    <t>01:32.16</t>
  </si>
  <si>
    <t>01:33.93</t>
  </si>
  <si>
    <t>01:23.96</t>
  </si>
  <si>
    <t>F # 27 Female 12 &amp; Under 100 Fly</t>
  </si>
  <si>
    <t>01:26.91</t>
  </si>
  <si>
    <t>P # 27 Female 12 &amp; Under 100 Fly</t>
  </si>
  <si>
    <t>02:48.99</t>
  </si>
  <si>
    <t>F # 35 Female 12 &amp; Under 200 Medley</t>
  </si>
  <si>
    <t>02:50.75</t>
  </si>
  <si>
    <t>00:42.70</t>
  </si>
  <si>
    <t>00:41.61</t>
  </si>
  <si>
    <t>Name/Record</t>
  </si>
  <si>
    <t>Event</t>
  </si>
  <si>
    <t>Place</t>
  </si>
  <si>
    <t>Points</t>
  </si>
  <si>
    <t>Improv</t>
  </si>
  <si>
    <t>Instructions:
Notes:</t>
  </si>
  <si>
    <t>Total % Improvement</t>
  </si>
  <si>
    <t>Stroke</t>
  </si>
  <si>
    <t>Fly</t>
  </si>
  <si>
    <t>Back</t>
  </si>
  <si>
    <t>Breast</t>
  </si>
  <si>
    <t>Free</t>
  </si>
  <si>
    <t>Keywords</t>
  </si>
  <si>
    <t>Distance</t>
  </si>
  <si>
    <t>50m</t>
  </si>
  <si>
    <t>100m</t>
  </si>
  <si>
    <t>200m</t>
  </si>
  <si>
    <t>400m</t>
  </si>
  <si>
    <t>800m</t>
  </si>
  <si>
    <t>1500m</t>
  </si>
  <si>
    <t>Gender</t>
  </si>
  <si>
    <t>Male</t>
  </si>
  <si>
    <t>Female</t>
  </si>
  <si>
    <t>out of</t>
  </si>
  <si>
    <t>Total per distance</t>
  </si>
  <si>
    <t>Total per Stroke</t>
  </si>
  <si>
    <t>Total</t>
  </si>
  <si>
    <t># of DQ's and No Swims</t>
  </si>
  <si>
    <t>Swimmer 1</t>
  </si>
  <si>
    <t>Swimmer 2</t>
  </si>
  <si>
    <t>Swimmer 3</t>
  </si>
  <si>
    <t>Swimmer 4</t>
  </si>
  <si>
    <t>Swimmer 5</t>
  </si>
  <si>
    <t>Swimmer 6</t>
  </si>
  <si>
    <t>Swimmer 7</t>
  </si>
  <si>
    <t>Swimmer 8</t>
  </si>
  <si>
    <t>Swimmer 9</t>
  </si>
  <si>
    <t>Swimmer 10</t>
  </si>
  <si>
    <t>Swimmer 11</t>
  </si>
  <si>
    <t>Swimmer 12</t>
  </si>
  <si>
    <t>Swimmer 13</t>
  </si>
  <si>
    <t>Swimmer 14</t>
  </si>
  <si>
    <t>Swimmer 15</t>
  </si>
  <si>
    <t>Swimmer 16</t>
  </si>
  <si>
    <t>Swimmer 17</t>
  </si>
  <si>
    <t>Sample Meet.pdf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</si>
</sst>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99CCFF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ck">
        <color theme="4"/>
      </bottom>
      <diagonal/>
    </border>
    <border>
      <left/>
      <right/>
      <top style="thin">
        <color indexed="64"/>
      </top>
      <bottom style="thick">
        <color theme="4"/>
      </bottom>
      <diagonal/>
    </border>
    <border>
      <left/>
      <right style="thin">
        <color indexed="64"/>
      </right>
      <top style="thin">
        <color indexed="64"/>
      </top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ck">
        <color theme="4"/>
      </top>
      <bottom style="thin">
        <color indexed="64"/>
      </bottom>
      <diagonal/>
    </border>
    <border>
      <left style="thin">
        <color indexed="64"/>
      </left>
      <right/>
      <top style="thick">
        <color theme="4"/>
      </top>
      <bottom style="thick">
        <color theme="4" tint="0.499984740745262"/>
      </bottom>
      <diagonal/>
    </border>
    <border>
      <left/>
      <right/>
      <top style="thick">
        <color theme="4"/>
      </top>
      <bottom style="thick">
        <color theme="4" tint="0.499984740745262"/>
      </bottom>
      <diagonal/>
    </border>
    <border>
      <left/>
      <right style="thin">
        <color indexed="64"/>
      </right>
      <top style="thick">
        <color theme="4"/>
      </top>
      <bottom style="thick">
        <color theme="4" tint="0.499984740745262"/>
      </bottom>
      <diagonal/>
    </border>
    <border>
      <left style="thin">
        <color indexed="64"/>
      </left>
      <right/>
      <top/>
      <bottom style="thick">
        <color theme="4" tint="0.499984740745262"/>
      </bottom>
      <diagonal/>
    </border>
    <border>
      <left/>
      <right style="thin">
        <color indexed="64"/>
      </right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theme="4" tint="0.499984740745262"/>
      </top>
      <bottom style="medium">
        <color theme="4" tint="0.39997558519241921"/>
      </bottom>
      <diagonal/>
    </border>
    <border>
      <left/>
      <right/>
      <top style="thick">
        <color theme="4" tint="0.499984740745262"/>
      </top>
      <bottom style="medium">
        <color theme="4" tint="0.39997558519241921"/>
      </bottom>
      <diagonal/>
    </border>
    <border>
      <left/>
      <right style="thin">
        <color indexed="64"/>
      </right>
      <top style="thick">
        <color theme="4" tint="0.499984740745262"/>
      </top>
      <bottom style="medium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theme="4" tint="0.499984740745262"/>
      </top>
      <bottom style="medium">
        <color theme="4" tint="0.39997558519241921"/>
      </bottom>
      <diagonal/>
    </border>
    <border>
      <left style="thin">
        <color indexed="64"/>
      </left>
      <right/>
      <top style="medium">
        <color theme="4" tint="0.39997558519241921"/>
      </top>
      <bottom style="thin">
        <color indexed="64"/>
      </bottom>
      <diagonal/>
    </border>
    <border>
      <left/>
      <right style="thin">
        <color indexed="64"/>
      </right>
      <top style="medium">
        <color theme="4" tint="0.39997558519241921"/>
      </top>
      <bottom style="thin">
        <color indexed="64"/>
      </bottom>
      <diagonal/>
    </border>
  </borders>
  <cellStyleXfs count="10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60">
    <xf numFmtId="0" fontId="0" fillId="0" borderId="0" xfId="0"/>
    <xf numFmtId="0" fontId="0" fillId="6" borderId="0" xfId="0" applyFill="1"/>
    <xf numFmtId="0" fontId="4" fillId="3" borderId="7" xfId="5" applyFill="1" applyBorder="1"/>
    <xf numFmtId="0" fontId="4" fillId="3" borderId="13" xfId="5" applyFill="1" applyBorder="1"/>
    <xf numFmtId="0" fontId="1" fillId="3" borderId="13" xfId="7" applyBorder="1"/>
    <xf numFmtId="9" fontId="1" fillId="3" borderId="13" xfId="1" applyFill="1" applyBorder="1" applyAlignment="1">
      <alignment horizontal="center"/>
    </xf>
    <xf numFmtId="0" fontId="1" fillId="3" borderId="13" xfId="7" applyBorder="1" applyAlignment="1">
      <alignment horizontal="center"/>
    </xf>
    <xf numFmtId="1" fontId="1" fillId="3" borderId="13" xfId="7" applyNumberFormat="1" applyBorder="1" applyAlignment="1">
      <alignment horizontal="center"/>
    </xf>
    <xf numFmtId="0" fontId="1" fillId="4" borderId="13" xfId="8" applyBorder="1"/>
    <xf numFmtId="9" fontId="1" fillId="4" borderId="13" xfId="1" applyFill="1" applyBorder="1" applyAlignment="1">
      <alignment horizontal="center"/>
    </xf>
    <xf numFmtId="0" fontId="1" fillId="4" borderId="13" xfId="8" applyBorder="1" applyAlignment="1">
      <alignment horizontal="center"/>
    </xf>
    <xf numFmtId="1" fontId="1" fillId="4" borderId="13" xfId="8" applyNumberFormat="1" applyBorder="1" applyAlignment="1">
      <alignment horizontal="center"/>
    </xf>
    <xf numFmtId="0" fontId="1" fillId="5" borderId="20" xfId="9" applyBorder="1"/>
    <xf numFmtId="0" fontId="6" fillId="2" borderId="13" xfId="6" applyBorder="1"/>
    <xf numFmtId="0" fontId="4" fillId="3" borderId="21" xfId="4" applyFill="1" applyBorder="1"/>
    <xf numFmtId="0" fontId="1" fillId="5" borderId="13" xfId="9" applyBorder="1"/>
    <xf numFmtId="0" fontId="6" fillId="2" borderId="17" xfId="6" applyBorder="1"/>
    <xf numFmtId="0" fontId="6" fillId="2" borderId="17" xfId="6" applyBorder="1" applyAlignment="1">
      <alignment horizontal="center"/>
    </xf>
    <xf numFmtId="0" fontId="6" fillId="2" borderId="18" xfId="6" applyBorder="1" applyAlignment="1">
      <alignment horizontal="center"/>
    </xf>
    <xf numFmtId="0" fontId="6" fillId="2" borderId="19" xfId="6" applyBorder="1" applyAlignment="1">
      <alignment horizontal="center"/>
    </xf>
    <xf numFmtId="0" fontId="1" fillId="4" borderId="22" xfId="8" applyBorder="1" applyAlignment="1">
      <alignment horizontal="center"/>
    </xf>
    <xf numFmtId="0" fontId="1" fillId="4" borderId="23" xfId="8" applyBorder="1" applyAlignment="1">
      <alignment horizontal="center"/>
    </xf>
    <xf numFmtId="0" fontId="1" fillId="5" borderId="13" xfId="9" applyBorder="1" applyAlignment="1">
      <alignment horizontal="center"/>
    </xf>
    <xf numFmtId="0" fontId="2" fillId="3" borderId="4" xfId="2" applyFill="1" applyBorder="1" applyAlignment="1">
      <alignment horizontal="center"/>
    </xf>
    <xf numFmtId="0" fontId="2" fillId="3" borderId="5" xfId="2" applyFill="1" applyBorder="1" applyAlignment="1">
      <alignment horizontal="center"/>
    </xf>
    <xf numFmtId="0" fontId="2" fillId="3" borderId="6" xfId="2" applyFill="1" applyBorder="1" applyAlignment="1">
      <alignment horizontal="center"/>
    </xf>
    <xf numFmtId="0" fontId="3" fillId="3" borderId="8" xfId="3" applyFill="1" applyBorder="1" applyAlignment="1">
      <alignment horizontal="center"/>
    </xf>
    <xf numFmtId="0" fontId="3" fillId="3" borderId="9" xfId="3" applyFill="1" applyBorder="1" applyAlignment="1">
      <alignment horizontal="center"/>
    </xf>
    <xf numFmtId="0" fontId="3" fillId="3" borderId="10" xfId="3" applyFill="1" applyBorder="1" applyAlignment="1">
      <alignment horizontal="center"/>
    </xf>
    <xf numFmtId="0" fontId="4" fillId="3" borderId="14" xfId="4" applyFill="1" applyBorder="1" applyAlignment="1">
      <alignment horizontal="center"/>
    </xf>
    <xf numFmtId="0" fontId="4" fillId="3" borderId="16" xfId="4" applyFill="1" applyBorder="1" applyAlignment="1">
      <alignment horizontal="center"/>
    </xf>
    <xf numFmtId="9" fontId="1" fillId="5" borderId="17" xfId="1" applyFill="1" applyBorder="1" applyAlignment="1">
      <alignment horizontal="center"/>
    </xf>
    <xf numFmtId="9" fontId="1" fillId="5" borderId="18" xfId="1" applyFill="1" applyBorder="1" applyAlignment="1">
      <alignment horizontal="center"/>
    </xf>
    <xf numFmtId="9" fontId="1" fillId="5" borderId="19" xfId="1" applyFill="1" applyBorder="1" applyAlignment="1">
      <alignment horizontal="center"/>
    </xf>
    <xf numFmtId="1" fontId="1" fillId="5" borderId="17" xfId="9" applyNumberFormat="1" applyBorder="1" applyAlignment="1">
      <alignment horizontal="center"/>
    </xf>
    <xf numFmtId="1" fontId="1" fillId="5" borderId="18" xfId="9" applyNumberFormat="1" applyBorder="1" applyAlignment="1">
      <alignment horizontal="center"/>
    </xf>
    <xf numFmtId="1" fontId="1" fillId="5" borderId="19" xfId="9" applyNumberFormat="1" applyBorder="1" applyAlignment="1">
      <alignment horizontal="center"/>
    </xf>
    <xf numFmtId="0" fontId="1" fillId="5" borderId="17" xfId="9" applyBorder="1" applyAlignment="1">
      <alignment horizontal="center"/>
    </xf>
    <xf numFmtId="0" fontId="1" fillId="5" borderId="18" xfId="9" applyBorder="1" applyAlignment="1">
      <alignment horizontal="center"/>
    </xf>
    <xf numFmtId="0" fontId="1" fillId="5" borderId="19" xfId="9" applyBorder="1" applyAlignment="1">
      <alignment horizontal="center"/>
    </xf>
    <xf numFmtId="10" fontId="6" fillId="2" borderId="17" xfId="6" applyNumberFormat="1" applyBorder="1" applyAlignment="1">
      <alignment horizontal="center"/>
    </xf>
    <xf numFmtId="10" fontId="6" fillId="2" borderId="18" xfId="6" applyNumberFormat="1" applyBorder="1" applyAlignment="1">
      <alignment horizontal="center"/>
    </xf>
    <xf numFmtId="10" fontId="6" fillId="2" borderId="19" xfId="6" applyNumberFormat="1" applyBorder="1" applyAlignment="1">
      <alignment horizontal="center"/>
    </xf>
    <xf numFmtId="1" fontId="6" fillId="2" borderId="17" xfId="6" applyNumberFormat="1" applyBorder="1" applyAlignment="1">
      <alignment horizontal="center"/>
    </xf>
    <xf numFmtId="1" fontId="6" fillId="2" borderId="18" xfId="6" applyNumberFormat="1" applyBorder="1" applyAlignment="1">
      <alignment horizontal="center"/>
    </xf>
    <xf numFmtId="1" fontId="1" fillId="5" borderId="13" xfId="9" applyNumberFormat="1" applyBorder="1" applyAlignment="1">
      <alignment horizontal="center"/>
    </xf>
    <xf numFmtId="0" fontId="4" fillId="3" borderId="15" xfId="4" applyFill="1" applyBorder="1" applyAlignment="1">
      <alignment horizontal="center"/>
    </xf>
    <xf numFmtId="0" fontId="1" fillId="3" borderId="17" xfId="7" applyBorder="1" applyAlignment="1">
      <alignment horizontal="center"/>
    </xf>
    <xf numFmtId="0" fontId="1" fillId="3" borderId="18" xfId="7" applyBorder="1" applyAlignment="1">
      <alignment horizontal="center"/>
    </xf>
    <xf numFmtId="0" fontId="1" fillId="3" borderId="19" xfId="7" applyBorder="1" applyAlignment="1">
      <alignment horizontal="center"/>
    </xf>
    <xf numFmtId="0" fontId="2" fillId="3" borderId="1" xfId="2" applyFill="1" applyAlignment="1">
      <alignment horizontal="center"/>
    </xf>
    <xf numFmtId="0" fontId="2" fillId="3" borderId="0" xfId="2" applyFill="1" applyBorder="1" applyAlignment="1">
      <alignment horizontal="center"/>
    </xf>
    <xf numFmtId="0" fontId="5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2" fillId="3" borderId="4" xfId="2" applyFill="1" applyBorder="1" applyAlignment="1">
      <alignment horizontal="left"/>
    </xf>
    <xf numFmtId="0" fontId="2" fillId="3" borderId="5" xfId="2" applyFill="1" applyBorder="1" applyAlignment="1">
      <alignment horizontal="left"/>
    </xf>
    <xf numFmtId="0" fontId="2" fillId="3" borderId="6" xfId="2" applyFill="1" applyBorder="1" applyAlignment="1">
      <alignment horizontal="left"/>
    </xf>
    <xf numFmtId="0" fontId="3" fillId="3" borderId="11" xfId="3" applyFill="1" applyBorder="1" applyAlignment="1">
      <alignment horizontal="center"/>
    </xf>
    <xf numFmtId="0" fontId="3" fillId="3" borderId="2" xfId="3" applyFill="1" applyAlignment="1">
      <alignment horizontal="center"/>
    </xf>
    <xf numFmtId="0" fontId="3" fillId="3" borderId="12" xfId="3" applyFill="1" applyBorder="1" applyAlignment="1">
      <alignment horizontal="center"/>
    </xf>
  </cellXfs>
  <cellStyles count="10">
    <cellStyle name="20% - Accent1" xfId="7" builtinId="30"/>
    <cellStyle name="40% - Accent1" xfId="8" builtinId="31"/>
    <cellStyle name="60% - Accent1" xfId="9" builtinId="32"/>
    <cellStyle name="Accent1" xfId="6" builtinId="29"/>
    <cellStyle name="Heading 1" xfId="2" builtinId="16"/>
    <cellStyle name="Heading 2" xfId="3" builtinId="17"/>
    <cellStyle name="Heading 3" xfId="4" builtinId="18"/>
    <cellStyle name="Heading 4" xfId="5" builtinId="19"/>
    <cellStyle name="Normal" xfId="0" builtinId="0"/>
    <cellStyle name="Percent" xfId="1" builtinId="5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F4E294A0-238C-41BD-88DD-09AE11EE2FBE}" autoFormatId="16" applyNumberFormats="0" applyBorderFormats="0" applyFontFormats="0" applyPatternFormats="0" applyAlignmentFormats="0" applyWidthHeightFormats="0">
  <queryTableRefresh nextId="7">
    <queryTableFields count="6">
      <queryTableField id="1" name="Name" tableColumnId="1"/>
      <queryTableField id="2" name="Name/Record" tableColumnId="2"/>
      <queryTableField id="3" name="Event" tableColumnId="3"/>
      <queryTableField id="4" name="Place" tableColumnId="4"/>
      <queryTableField id="5" name="Points" tableColumnId="5"/>
      <queryTableField id="6" name="Improv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EFF69D-A162-472D-8030-73B22B7FDA33}" name="Meet_Results" displayName="Meet_Results" ref="A1:F230" tableType="queryTable" totalsRowShown="0">
  <autoFilter ref="A1:F230" xr:uid="{B8EFF69D-A162-472D-8030-73B22B7FDA33}"/>
  <tableColumns count="6">
    <tableColumn id="1" xr3:uid="{2F91722E-395F-4D8A-89B7-2249F74B292B}" uniqueName="1" name="Name" queryTableFieldId="1" dataDxfId="0"/>
    <tableColumn id="2" xr3:uid="{D989F570-289C-41A7-A38A-5640EBA8EC2B}" uniqueName="2" name="Name/Record" queryTableFieldId="2"/>
    <tableColumn id="3" xr3:uid="{4CB596F8-BD09-45E2-8E18-3A5ADC399256}" uniqueName="3" name="Event" queryTableFieldId="3"/>
    <tableColumn id="4" xr3:uid="{FEC24EF3-6B43-4DBC-B8F4-B80532817B3F}" uniqueName="4" name="Place" queryTableFieldId="4"/>
    <tableColumn id="5" xr3:uid="{844BEC57-6732-448A-A1E3-AF43CFC8D34E}" uniqueName="5" name="Points" queryTableFieldId="5"/>
    <tableColumn id="6" xr3:uid="{D3F5C734-2B66-4C4B-A899-AA3C1FB96F67}" uniqueName="6" name="Improv" queryTableField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DB65E85-40FE-40F5-BACC-C2DBB1299345}" name="Table4" displayName="Table4" ref="A18:E1048576" totalsRowShown="0">
  <autoFilter ref="A18:E1048576" xr:uid="{0F4AF4E9-F120-4E3D-9C35-11BD99459DDE}"/>
  <tableColumns count="5">
    <tableColumn id="1" xr3:uid="{7325D6DE-D07D-4438-99A1-15608FF58686}" name="Name/Record"/>
    <tableColumn id="2" xr3:uid="{F1FC74C6-C93F-4FC3-9C6D-980997858597}" name="Event"/>
    <tableColumn id="3" xr3:uid="{C6ECB9B2-6428-4E92-845A-B9BB0740BAF8}" name="Place"/>
    <tableColumn id="4" xr3:uid="{A67F53F1-678D-4109-BF5A-8BE954D2945D}" name="Points"/>
    <tableColumn id="5" xr3:uid="{E922787C-8446-44D5-A507-AA0DA0CE25E7}" name="Improv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82239-DC84-452E-87FA-416447ED9652}">
  <sheetPr codeName="Sheet2"/>
  <dimension ref="A1:F230"/>
  <sheetViews>
    <sheetView tabSelected="1" zoomScale="83" workbookViewId="0">
      <selection activeCell="J8" sqref="J8"/>
    </sheetView>
  </sheetViews>
  <sheetFormatPr defaultRowHeight="15" x14ac:dyDescent="0.25"/>
  <cols>
    <col min="1" max="1" width="17.140625" bestFit="1" customWidth="1"/>
    <col min="2" max="2" width="60.42578125" bestFit="1" customWidth="1"/>
    <col min="3" max="3" width="37.85546875" bestFit="1" customWidth="1"/>
    <col min="4" max="4" width="11.7109375" bestFit="1" customWidth="1"/>
    <col min="5" max="5" width="12.42578125" bestFit="1" customWidth="1"/>
    <col min="6" max="6" width="12.5703125" bestFit="1" customWidth="1"/>
  </cols>
  <sheetData>
    <row r="1" spans="1:6" x14ac:dyDescent="0.25">
      <c r="A1" t="s">
        <v>40</v>
      </c>
      <c r="B1" t="s">
        <v>364</v>
      </c>
      <c r="C1" t="s">
        <v>365</v>
      </c>
      <c r="D1" t="s">
        <v>366</v>
      </c>
      <c r="E1" t="s">
        <v>367</v>
      </c>
      <c r="F1" t="s">
        <v>368</v>
      </c>
    </row>
    <row r="2" spans="1:6" x14ac:dyDescent="0.25">
      <c r="A2" t="s">
        <v>409</v>
      </c>
      <c r="B2" t="s">
        <v>392</v>
      </c>
    </row>
    <row r="3" spans="1:6" x14ac:dyDescent="0.25">
      <c r="A3" t="s">
        <v>409</v>
      </c>
      <c r="B3" t="s">
        <v>0</v>
      </c>
      <c r="C3" t="s">
        <v>1</v>
      </c>
      <c r="D3" t="s">
        <v>2</v>
      </c>
      <c r="E3" t="s">
        <v>3</v>
      </c>
      <c r="F3">
        <v>-59.14</v>
      </c>
    </row>
    <row r="4" spans="1:6" x14ac:dyDescent="0.25">
      <c r="A4" t="s">
        <v>409</v>
      </c>
      <c r="B4" t="s">
        <v>4</v>
      </c>
      <c r="C4" t="s">
        <v>5</v>
      </c>
      <c r="F4">
        <v>-6.55</v>
      </c>
    </row>
    <row r="5" spans="1:6" x14ac:dyDescent="0.25">
      <c r="A5" t="s">
        <v>409</v>
      </c>
      <c r="B5" t="s">
        <v>6</v>
      </c>
      <c r="C5" t="s">
        <v>7</v>
      </c>
      <c r="D5" t="s">
        <v>8</v>
      </c>
      <c r="E5" t="s">
        <v>9</v>
      </c>
      <c r="F5">
        <v>-7.06</v>
      </c>
    </row>
    <row r="6" spans="1:6" x14ac:dyDescent="0.25">
      <c r="A6" t="s">
        <v>409</v>
      </c>
      <c r="B6" t="s">
        <v>10</v>
      </c>
      <c r="C6" t="s">
        <v>11</v>
      </c>
      <c r="D6" t="s">
        <v>12</v>
      </c>
      <c r="E6" t="s">
        <v>9</v>
      </c>
      <c r="F6">
        <v>-5.46</v>
      </c>
    </row>
    <row r="7" spans="1:6" x14ac:dyDescent="0.25">
      <c r="A7" t="s">
        <v>409</v>
      </c>
      <c r="B7" t="s">
        <v>13</v>
      </c>
      <c r="C7" t="s">
        <v>14</v>
      </c>
      <c r="D7" t="s">
        <v>15</v>
      </c>
      <c r="F7">
        <v>2.61</v>
      </c>
    </row>
    <row r="8" spans="1:6" x14ac:dyDescent="0.25">
      <c r="A8" t="s">
        <v>409</v>
      </c>
      <c r="B8" t="s">
        <v>16</v>
      </c>
      <c r="C8" t="s">
        <v>17</v>
      </c>
      <c r="D8" t="s">
        <v>18</v>
      </c>
      <c r="E8" t="s">
        <v>19</v>
      </c>
      <c r="F8">
        <v>-1.24</v>
      </c>
    </row>
    <row r="9" spans="1:6" x14ac:dyDescent="0.25">
      <c r="A9" t="s">
        <v>409</v>
      </c>
      <c r="B9" t="s">
        <v>20</v>
      </c>
      <c r="C9" t="s">
        <v>21</v>
      </c>
      <c r="D9" t="s">
        <v>22</v>
      </c>
      <c r="E9" t="s">
        <v>19</v>
      </c>
      <c r="F9">
        <v>-1.37</v>
      </c>
    </row>
    <row r="10" spans="1:6" x14ac:dyDescent="0.25">
      <c r="A10" t="s">
        <v>409</v>
      </c>
      <c r="B10" t="s">
        <v>23</v>
      </c>
      <c r="C10" t="s">
        <v>24</v>
      </c>
      <c r="F10">
        <v>0.36</v>
      </c>
    </row>
    <row r="11" spans="1:6" x14ac:dyDescent="0.25">
      <c r="A11" t="s">
        <v>409</v>
      </c>
      <c r="B11" t="s">
        <v>25</v>
      </c>
      <c r="C11" t="s">
        <v>26</v>
      </c>
      <c r="D11" t="s">
        <v>27</v>
      </c>
      <c r="E11" t="s">
        <v>28</v>
      </c>
      <c r="F11">
        <v>-0.61</v>
      </c>
    </row>
    <row r="12" spans="1:6" x14ac:dyDescent="0.25">
      <c r="A12" t="s">
        <v>409</v>
      </c>
      <c r="B12" t="s">
        <v>29</v>
      </c>
      <c r="C12" t="s">
        <v>30</v>
      </c>
      <c r="D12" t="s">
        <v>27</v>
      </c>
      <c r="E12" t="s">
        <v>28</v>
      </c>
      <c r="F12">
        <v>-0.34</v>
      </c>
    </row>
    <row r="13" spans="1:6" x14ac:dyDescent="0.25">
      <c r="A13" t="s">
        <v>409</v>
      </c>
      <c r="B13" t="s">
        <v>31</v>
      </c>
      <c r="C13" t="s">
        <v>32</v>
      </c>
      <c r="D13" t="s">
        <v>33</v>
      </c>
      <c r="E13" t="s">
        <v>34</v>
      </c>
      <c r="F13">
        <v>-3.2</v>
      </c>
    </row>
    <row r="14" spans="1:6" x14ac:dyDescent="0.25">
      <c r="A14" t="s">
        <v>409</v>
      </c>
      <c r="B14" t="s">
        <v>35</v>
      </c>
      <c r="C14" t="s">
        <v>36</v>
      </c>
      <c r="D14" t="s">
        <v>37</v>
      </c>
      <c r="E14" t="s">
        <v>34</v>
      </c>
      <c r="F14">
        <v>-1.54</v>
      </c>
    </row>
    <row r="15" spans="1:6" x14ac:dyDescent="0.25">
      <c r="A15" t="s">
        <v>409</v>
      </c>
      <c r="B15" t="s">
        <v>38</v>
      </c>
      <c r="C15" t="s">
        <v>39</v>
      </c>
      <c r="D15" t="s">
        <v>27</v>
      </c>
      <c r="E15" t="s">
        <v>28</v>
      </c>
      <c r="F15">
        <v>0.16</v>
      </c>
    </row>
    <row r="16" spans="1:6" x14ac:dyDescent="0.25">
      <c r="A16" t="s">
        <v>409</v>
      </c>
      <c r="B16" t="s">
        <v>41</v>
      </c>
      <c r="C16" t="s">
        <v>42</v>
      </c>
      <c r="D16" t="s">
        <v>12</v>
      </c>
      <c r="E16" t="s">
        <v>28</v>
      </c>
      <c r="F16">
        <v>0.49</v>
      </c>
    </row>
    <row r="17" spans="1:6" x14ac:dyDescent="0.25">
      <c r="A17" t="s">
        <v>409</v>
      </c>
      <c r="B17" t="s">
        <v>43</v>
      </c>
      <c r="C17" t="s">
        <v>44</v>
      </c>
      <c r="D17" t="s">
        <v>2</v>
      </c>
      <c r="E17" t="s">
        <v>3</v>
      </c>
      <c r="F17">
        <v>-1.64</v>
      </c>
    </row>
    <row r="18" spans="1:6" x14ac:dyDescent="0.25">
      <c r="A18" t="s">
        <v>409</v>
      </c>
      <c r="B18" t="s">
        <v>45</v>
      </c>
      <c r="C18" t="s">
        <v>46</v>
      </c>
      <c r="D18" t="s">
        <v>12</v>
      </c>
      <c r="E18" t="s">
        <v>3</v>
      </c>
      <c r="F18">
        <v>-2.2999999999999998</v>
      </c>
    </row>
    <row r="19" spans="1:6" x14ac:dyDescent="0.25">
      <c r="A19" t="s">
        <v>409</v>
      </c>
      <c r="B19" t="s">
        <v>393</v>
      </c>
    </row>
    <row r="20" spans="1:6" x14ac:dyDescent="0.25">
      <c r="A20" t="s">
        <v>409</v>
      </c>
      <c r="B20" t="s">
        <v>47</v>
      </c>
      <c r="C20" t="s">
        <v>48</v>
      </c>
      <c r="F20">
        <v>4.22</v>
      </c>
    </row>
    <row r="21" spans="1:6" x14ac:dyDescent="0.25">
      <c r="A21" t="s">
        <v>409</v>
      </c>
      <c r="B21" t="s">
        <v>49</v>
      </c>
      <c r="C21" t="s">
        <v>50</v>
      </c>
      <c r="D21" t="s">
        <v>28</v>
      </c>
      <c r="F21">
        <v>-1.1200000000000001</v>
      </c>
    </row>
    <row r="22" spans="1:6" x14ac:dyDescent="0.25">
      <c r="A22" t="s">
        <v>409</v>
      </c>
      <c r="B22" t="s">
        <v>51</v>
      </c>
      <c r="C22" t="s">
        <v>52</v>
      </c>
      <c r="D22" t="s">
        <v>34</v>
      </c>
      <c r="F22">
        <v>-0.76</v>
      </c>
    </row>
    <row r="23" spans="1:6" x14ac:dyDescent="0.25">
      <c r="A23" t="s">
        <v>409</v>
      </c>
      <c r="B23" t="s">
        <v>53</v>
      </c>
      <c r="C23" t="s">
        <v>54</v>
      </c>
      <c r="D23" t="s">
        <v>55</v>
      </c>
      <c r="F23">
        <v>13.61</v>
      </c>
    </row>
    <row r="24" spans="1:6" x14ac:dyDescent="0.25">
      <c r="A24" t="s">
        <v>409</v>
      </c>
      <c r="B24" t="s">
        <v>56</v>
      </c>
      <c r="C24" t="s">
        <v>57</v>
      </c>
      <c r="D24" t="s">
        <v>18</v>
      </c>
      <c r="F24">
        <v>5.0599999999999996</v>
      </c>
    </row>
    <row r="25" spans="1:6" x14ac:dyDescent="0.25">
      <c r="A25" t="s">
        <v>409</v>
      </c>
      <c r="B25" t="s">
        <v>58</v>
      </c>
      <c r="C25" t="s">
        <v>59</v>
      </c>
      <c r="D25" t="s">
        <v>8</v>
      </c>
      <c r="F25">
        <v>-5.07</v>
      </c>
    </row>
    <row r="26" spans="1:6" x14ac:dyDescent="0.25">
      <c r="A26" t="s">
        <v>409</v>
      </c>
      <c r="B26" t="s">
        <v>394</v>
      </c>
    </row>
    <row r="27" spans="1:6" x14ac:dyDescent="0.25">
      <c r="A27" t="s">
        <v>409</v>
      </c>
      <c r="B27" t="s">
        <v>60</v>
      </c>
      <c r="C27" t="s">
        <v>61</v>
      </c>
      <c r="D27" t="s">
        <v>3</v>
      </c>
      <c r="E27" t="s">
        <v>12</v>
      </c>
      <c r="F27">
        <v>-0.14000000000000001</v>
      </c>
    </row>
    <row r="28" spans="1:6" x14ac:dyDescent="0.25">
      <c r="A28" t="s">
        <v>409</v>
      </c>
      <c r="B28" t="s">
        <v>62</v>
      </c>
      <c r="C28" t="s">
        <v>63</v>
      </c>
      <c r="D28" t="s">
        <v>64</v>
      </c>
      <c r="E28" t="s">
        <v>12</v>
      </c>
      <c r="F28">
        <v>0.04</v>
      </c>
    </row>
    <row r="29" spans="1:6" x14ac:dyDescent="0.25">
      <c r="A29" t="s">
        <v>409</v>
      </c>
      <c r="B29" t="s">
        <v>65</v>
      </c>
      <c r="C29" t="s">
        <v>66</v>
      </c>
      <c r="D29" t="s">
        <v>28</v>
      </c>
      <c r="E29" t="s">
        <v>33</v>
      </c>
    </row>
    <row r="30" spans="1:6" x14ac:dyDescent="0.25">
      <c r="A30" t="s">
        <v>409</v>
      </c>
      <c r="B30" t="s">
        <v>67</v>
      </c>
      <c r="C30" t="s">
        <v>68</v>
      </c>
      <c r="D30" t="s">
        <v>69</v>
      </c>
      <c r="E30" t="s">
        <v>33</v>
      </c>
      <c r="F30">
        <v>-0.42</v>
      </c>
    </row>
    <row r="31" spans="1:6" x14ac:dyDescent="0.25">
      <c r="A31" t="s">
        <v>409</v>
      </c>
      <c r="B31" t="s">
        <v>70</v>
      </c>
      <c r="C31" t="s">
        <v>71</v>
      </c>
      <c r="D31" t="s">
        <v>2</v>
      </c>
      <c r="E31" t="s">
        <v>3</v>
      </c>
      <c r="F31">
        <v>-3.64</v>
      </c>
    </row>
    <row r="32" spans="1:6" x14ac:dyDescent="0.25">
      <c r="A32" t="s">
        <v>409</v>
      </c>
      <c r="B32" t="s">
        <v>72</v>
      </c>
      <c r="C32" t="s">
        <v>73</v>
      </c>
      <c r="D32" t="s">
        <v>2</v>
      </c>
      <c r="E32" t="s">
        <v>3</v>
      </c>
      <c r="F32">
        <v>-1.23</v>
      </c>
    </row>
    <row r="33" spans="1:6" x14ac:dyDescent="0.25">
      <c r="A33" t="s">
        <v>409</v>
      </c>
      <c r="B33" t="s">
        <v>74</v>
      </c>
      <c r="C33" t="s">
        <v>75</v>
      </c>
      <c r="D33" t="s">
        <v>33</v>
      </c>
      <c r="E33" t="s">
        <v>34</v>
      </c>
      <c r="F33">
        <v>-1.31</v>
      </c>
    </row>
    <row r="34" spans="1:6" x14ac:dyDescent="0.25">
      <c r="A34" t="s">
        <v>409</v>
      </c>
      <c r="B34" t="s">
        <v>76</v>
      </c>
      <c r="C34" t="s">
        <v>77</v>
      </c>
      <c r="D34" t="s">
        <v>2</v>
      </c>
      <c r="E34" t="s">
        <v>34</v>
      </c>
      <c r="F34">
        <v>1.97</v>
      </c>
    </row>
    <row r="35" spans="1:6" x14ac:dyDescent="0.25">
      <c r="A35" t="s">
        <v>409</v>
      </c>
      <c r="B35" t="s">
        <v>78</v>
      </c>
      <c r="C35" t="s">
        <v>79</v>
      </c>
      <c r="D35" t="s">
        <v>9</v>
      </c>
      <c r="E35" t="s">
        <v>19</v>
      </c>
      <c r="F35">
        <v>-0.4</v>
      </c>
    </row>
    <row r="36" spans="1:6" x14ac:dyDescent="0.25">
      <c r="A36" t="s">
        <v>409</v>
      </c>
      <c r="B36" t="s">
        <v>80</v>
      </c>
      <c r="C36" t="s">
        <v>81</v>
      </c>
      <c r="D36" t="s">
        <v>82</v>
      </c>
      <c r="E36" t="s">
        <v>19</v>
      </c>
      <c r="F36">
        <v>0.28999999999999998</v>
      </c>
    </row>
    <row r="37" spans="1:6" x14ac:dyDescent="0.25">
      <c r="A37" t="s">
        <v>409</v>
      </c>
      <c r="B37" t="s">
        <v>83</v>
      </c>
      <c r="C37" t="s">
        <v>84</v>
      </c>
      <c r="F37">
        <v>-0.53</v>
      </c>
    </row>
    <row r="38" spans="1:6" x14ac:dyDescent="0.25">
      <c r="A38" t="s">
        <v>409</v>
      </c>
      <c r="B38" t="s">
        <v>85</v>
      </c>
      <c r="C38" t="s">
        <v>86</v>
      </c>
      <c r="D38" t="s">
        <v>22</v>
      </c>
      <c r="E38" t="s">
        <v>87</v>
      </c>
      <c r="F38">
        <v>-2.23</v>
      </c>
    </row>
    <row r="39" spans="1:6" x14ac:dyDescent="0.25">
      <c r="A39" t="s">
        <v>409</v>
      </c>
      <c r="B39" t="s">
        <v>88</v>
      </c>
      <c r="C39" t="s">
        <v>89</v>
      </c>
      <c r="D39" t="s">
        <v>22</v>
      </c>
      <c r="E39" t="s">
        <v>87</v>
      </c>
      <c r="F39">
        <v>-1.31</v>
      </c>
    </row>
    <row r="40" spans="1:6" x14ac:dyDescent="0.25">
      <c r="A40" t="s">
        <v>409</v>
      </c>
      <c r="B40" t="s">
        <v>90</v>
      </c>
      <c r="C40" t="s">
        <v>91</v>
      </c>
      <c r="D40" t="s">
        <v>3</v>
      </c>
      <c r="F40">
        <v>1.25</v>
      </c>
    </row>
    <row r="41" spans="1:6" x14ac:dyDescent="0.25">
      <c r="A41" t="s">
        <v>409</v>
      </c>
      <c r="B41" t="s">
        <v>92</v>
      </c>
      <c r="C41" t="s">
        <v>93</v>
      </c>
      <c r="D41" t="s">
        <v>27</v>
      </c>
      <c r="E41" t="s">
        <v>28</v>
      </c>
      <c r="F41">
        <v>-0.68</v>
      </c>
    </row>
    <row r="42" spans="1:6" x14ac:dyDescent="0.25">
      <c r="A42" t="s">
        <v>409</v>
      </c>
      <c r="B42" t="s">
        <v>94</v>
      </c>
      <c r="C42" t="s">
        <v>95</v>
      </c>
      <c r="D42" t="s">
        <v>22</v>
      </c>
      <c r="E42" t="s">
        <v>28</v>
      </c>
      <c r="F42">
        <v>0.47</v>
      </c>
    </row>
    <row r="43" spans="1:6" x14ac:dyDescent="0.25">
      <c r="A43" t="s">
        <v>409</v>
      </c>
      <c r="B43" t="s">
        <v>395</v>
      </c>
    </row>
    <row r="44" spans="1:6" x14ac:dyDescent="0.25">
      <c r="A44" t="s">
        <v>409</v>
      </c>
      <c r="B44" t="s">
        <v>96</v>
      </c>
      <c r="C44" t="s">
        <v>97</v>
      </c>
      <c r="D44" t="s">
        <v>9</v>
      </c>
      <c r="E44" t="s">
        <v>19</v>
      </c>
      <c r="F44">
        <v>-51.89</v>
      </c>
    </row>
    <row r="45" spans="1:6" x14ac:dyDescent="0.25">
      <c r="A45" t="s">
        <v>409</v>
      </c>
      <c r="B45" t="s">
        <v>98</v>
      </c>
      <c r="C45" t="s">
        <v>48</v>
      </c>
      <c r="D45" t="s">
        <v>19</v>
      </c>
      <c r="F45">
        <v>-13.96</v>
      </c>
    </row>
    <row r="46" spans="1:6" x14ac:dyDescent="0.25">
      <c r="A46" t="s">
        <v>409</v>
      </c>
      <c r="B46" t="s">
        <v>99</v>
      </c>
      <c r="C46" t="s">
        <v>100</v>
      </c>
      <c r="D46" t="s">
        <v>12</v>
      </c>
      <c r="E46" t="s">
        <v>15</v>
      </c>
      <c r="F46">
        <v>-19.989999999999998</v>
      </c>
    </row>
    <row r="47" spans="1:6" x14ac:dyDescent="0.25">
      <c r="A47" t="s">
        <v>409</v>
      </c>
      <c r="B47" t="s">
        <v>101</v>
      </c>
      <c r="C47" t="s">
        <v>102</v>
      </c>
      <c r="D47" t="s">
        <v>12</v>
      </c>
      <c r="E47" t="s">
        <v>15</v>
      </c>
      <c r="F47">
        <v>-12.25</v>
      </c>
    </row>
    <row r="48" spans="1:6" x14ac:dyDescent="0.25">
      <c r="A48" t="s">
        <v>409</v>
      </c>
      <c r="B48" t="s">
        <v>103</v>
      </c>
      <c r="C48" t="s">
        <v>104</v>
      </c>
      <c r="D48" t="s">
        <v>27</v>
      </c>
      <c r="E48" t="s">
        <v>28</v>
      </c>
      <c r="F48">
        <v>-14.32</v>
      </c>
    </row>
    <row r="49" spans="1:6" x14ac:dyDescent="0.25">
      <c r="A49" t="s">
        <v>409</v>
      </c>
      <c r="B49" t="s">
        <v>105</v>
      </c>
      <c r="C49" t="s">
        <v>106</v>
      </c>
      <c r="D49" t="s">
        <v>22</v>
      </c>
      <c r="E49" t="s">
        <v>28</v>
      </c>
      <c r="F49">
        <v>-12.06</v>
      </c>
    </row>
    <row r="50" spans="1:6" x14ac:dyDescent="0.25">
      <c r="A50" t="s">
        <v>409</v>
      </c>
      <c r="B50" t="s">
        <v>107</v>
      </c>
      <c r="C50" t="s">
        <v>108</v>
      </c>
      <c r="D50" t="s">
        <v>9</v>
      </c>
      <c r="E50" t="s">
        <v>19</v>
      </c>
      <c r="F50">
        <v>-35.299999999999997</v>
      </c>
    </row>
    <row r="51" spans="1:6" x14ac:dyDescent="0.25">
      <c r="A51" t="s">
        <v>409</v>
      </c>
      <c r="B51" t="s">
        <v>109</v>
      </c>
      <c r="C51" t="s">
        <v>54</v>
      </c>
      <c r="D51" t="s">
        <v>69</v>
      </c>
      <c r="E51" t="s">
        <v>19</v>
      </c>
      <c r="F51">
        <v>-31.39</v>
      </c>
    </row>
    <row r="52" spans="1:6" x14ac:dyDescent="0.25">
      <c r="A52" t="s">
        <v>409</v>
      </c>
      <c r="B52" t="s">
        <v>47</v>
      </c>
      <c r="C52" t="s">
        <v>110</v>
      </c>
      <c r="F52">
        <v>-0.35</v>
      </c>
    </row>
    <row r="53" spans="1:6" x14ac:dyDescent="0.25">
      <c r="A53" t="s">
        <v>409</v>
      </c>
      <c r="B53" t="s">
        <v>111</v>
      </c>
      <c r="C53" t="s">
        <v>112</v>
      </c>
      <c r="D53" t="s">
        <v>3</v>
      </c>
      <c r="F53">
        <v>-6.24</v>
      </c>
    </row>
    <row r="54" spans="1:6" x14ac:dyDescent="0.25">
      <c r="A54" t="s">
        <v>409</v>
      </c>
      <c r="B54" t="s">
        <v>113</v>
      </c>
      <c r="C54" t="s">
        <v>59</v>
      </c>
      <c r="D54" t="s">
        <v>82</v>
      </c>
      <c r="F54">
        <v>-1.54</v>
      </c>
    </row>
    <row r="55" spans="1:6" x14ac:dyDescent="0.25">
      <c r="A55" t="s">
        <v>409</v>
      </c>
      <c r="B55" t="s">
        <v>396</v>
      </c>
    </row>
    <row r="56" spans="1:6" x14ac:dyDescent="0.25">
      <c r="A56" t="s">
        <v>409</v>
      </c>
      <c r="B56" t="s">
        <v>114</v>
      </c>
      <c r="C56" t="s">
        <v>115</v>
      </c>
      <c r="D56" t="s">
        <v>8</v>
      </c>
      <c r="F56">
        <v>3.85</v>
      </c>
    </row>
    <row r="57" spans="1:6" x14ac:dyDescent="0.25">
      <c r="A57" t="s">
        <v>409</v>
      </c>
      <c r="B57" t="s">
        <v>116</v>
      </c>
      <c r="C57" t="s">
        <v>117</v>
      </c>
      <c r="D57" t="s">
        <v>69</v>
      </c>
      <c r="E57" t="s">
        <v>118</v>
      </c>
      <c r="F57">
        <v>-2.0499999999999998</v>
      </c>
    </row>
    <row r="58" spans="1:6" x14ac:dyDescent="0.25">
      <c r="A58" t="s">
        <v>409</v>
      </c>
      <c r="B58" t="s">
        <v>119</v>
      </c>
      <c r="C58" t="s">
        <v>120</v>
      </c>
      <c r="D58" t="s">
        <v>69</v>
      </c>
      <c r="E58" t="s">
        <v>118</v>
      </c>
      <c r="F58">
        <v>-1.88</v>
      </c>
    </row>
    <row r="59" spans="1:6" x14ac:dyDescent="0.25">
      <c r="A59" t="s">
        <v>409</v>
      </c>
      <c r="B59" t="s">
        <v>121</v>
      </c>
      <c r="C59" t="s">
        <v>122</v>
      </c>
      <c r="D59" t="s">
        <v>82</v>
      </c>
      <c r="F59">
        <v>-0.31</v>
      </c>
    </row>
    <row r="60" spans="1:6" x14ac:dyDescent="0.25">
      <c r="A60" t="s">
        <v>409</v>
      </c>
      <c r="B60" t="s">
        <v>123</v>
      </c>
      <c r="C60" t="s">
        <v>124</v>
      </c>
      <c r="D60" t="s">
        <v>64</v>
      </c>
      <c r="F60">
        <v>-45.31</v>
      </c>
    </row>
    <row r="61" spans="1:6" x14ac:dyDescent="0.25">
      <c r="A61" t="s">
        <v>409</v>
      </c>
      <c r="B61" t="s">
        <v>125</v>
      </c>
      <c r="C61" t="s">
        <v>126</v>
      </c>
      <c r="D61" t="s">
        <v>87</v>
      </c>
      <c r="F61">
        <v>0.87</v>
      </c>
    </row>
    <row r="62" spans="1:6" x14ac:dyDescent="0.25">
      <c r="A62" t="s">
        <v>409</v>
      </c>
      <c r="B62" t="s">
        <v>127</v>
      </c>
      <c r="C62" t="s">
        <v>128</v>
      </c>
      <c r="D62" t="s">
        <v>118</v>
      </c>
      <c r="F62">
        <v>-3.1</v>
      </c>
    </row>
    <row r="63" spans="1:6" x14ac:dyDescent="0.25">
      <c r="A63" t="s">
        <v>409</v>
      </c>
      <c r="B63" t="s">
        <v>397</v>
      </c>
    </row>
    <row r="64" spans="1:6" x14ac:dyDescent="0.25">
      <c r="A64" t="s">
        <v>409</v>
      </c>
      <c r="B64" t="s">
        <v>129</v>
      </c>
      <c r="C64" t="s">
        <v>130</v>
      </c>
      <c r="D64" t="s">
        <v>12</v>
      </c>
      <c r="E64" t="s">
        <v>15</v>
      </c>
      <c r="F64">
        <v>6.04</v>
      </c>
    </row>
    <row r="65" spans="1:6" x14ac:dyDescent="0.25">
      <c r="A65" t="s">
        <v>409</v>
      </c>
      <c r="B65" t="s">
        <v>131</v>
      </c>
      <c r="C65" t="s">
        <v>132</v>
      </c>
      <c r="D65" t="s">
        <v>64</v>
      </c>
      <c r="E65" t="s">
        <v>37</v>
      </c>
      <c r="F65">
        <v>-0.05</v>
      </c>
    </row>
    <row r="66" spans="1:6" x14ac:dyDescent="0.25">
      <c r="A66" t="s">
        <v>409</v>
      </c>
      <c r="B66" t="s">
        <v>133</v>
      </c>
      <c r="C66" t="s">
        <v>134</v>
      </c>
      <c r="D66" t="s">
        <v>22</v>
      </c>
      <c r="E66" t="s">
        <v>37</v>
      </c>
      <c r="F66">
        <v>-0.22</v>
      </c>
    </row>
    <row r="67" spans="1:6" x14ac:dyDescent="0.25">
      <c r="A67" t="s">
        <v>409</v>
      </c>
      <c r="B67" t="s">
        <v>135</v>
      </c>
      <c r="C67" t="s">
        <v>136</v>
      </c>
      <c r="D67" t="s">
        <v>82</v>
      </c>
      <c r="E67" t="s">
        <v>82</v>
      </c>
      <c r="F67">
        <v>-0.18</v>
      </c>
    </row>
    <row r="68" spans="1:6" x14ac:dyDescent="0.25">
      <c r="A68" t="s">
        <v>409</v>
      </c>
      <c r="B68" t="s">
        <v>137</v>
      </c>
      <c r="C68" t="s">
        <v>138</v>
      </c>
      <c r="D68" t="s">
        <v>37</v>
      </c>
      <c r="E68" t="s">
        <v>82</v>
      </c>
      <c r="F68">
        <v>-0.01</v>
      </c>
    </row>
    <row r="69" spans="1:6" x14ac:dyDescent="0.25">
      <c r="A69" t="s">
        <v>409</v>
      </c>
      <c r="B69" t="s">
        <v>139</v>
      </c>
      <c r="C69" t="s">
        <v>140</v>
      </c>
      <c r="F69">
        <v>1.07</v>
      </c>
    </row>
    <row r="70" spans="1:6" x14ac:dyDescent="0.25">
      <c r="A70" t="s">
        <v>409</v>
      </c>
      <c r="B70" t="s">
        <v>98</v>
      </c>
      <c r="C70" t="s">
        <v>141</v>
      </c>
      <c r="D70" t="s">
        <v>27</v>
      </c>
      <c r="E70" t="s">
        <v>28</v>
      </c>
      <c r="F70">
        <v>2.54</v>
      </c>
    </row>
    <row r="71" spans="1:6" x14ac:dyDescent="0.25">
      <c r="A71" t="s">
        <v>409</v>
      </c>
      <c r="B71" t="s">
        <v>142</v>
      </c>
      <c r="C71" t="s">
        <v>143</v>
      </c>
      <c r="D71" t="s">
        <v>2</v>
      </c>
      <c r="E71" t="s">
        <v>28</v>
      </c>
      <c r="F71">
        <v>4.63</v>
      </c>
    </row>
    <row r="72" spans="1:6" x14ac:dyDescent="0.25">
      <c r="A72" t="s">
        <v>409</v>
      </c>
      <c r="B72" t="s">
        <v>144</v>
      </c>
      <c r="C72" t="s">
        <v>145</v>
      </c>
      <c r="D72" t="s">
        <v>22</v>
      </c>
      <c r="E72" t="s">
        <v>87</v>
      </c>
      <c r="F72">
        <v>0.85</v>
      </c>
    </row>
    <row r="73" spans="1:6" x14ac:dyDescent="0.25">
      <c r="A73" t="s">
        <v>409</v>
      </c>
      <c r="B73" t="s">
        <v>146</v>
      </c>
      <c r="C73" t="s">
        <v>147</v>
      </c>
      <c r="D73" t="s">
        <v>69</v>
      </c>
      <c r="E73" t="s">
        <v>87</v>
      </c>
      <c r="F73">
        <v>1.52</v>
      </c>
    </row>
    <row r="74" spans="1:6" x14ac:dyDescent="0.25">
      <c r="A74" t="s">
        <v>409</v>
      </c>
      <c r="B74" t="s">
        <v>148</v>
      </c>
      <c r="C74" t="s">
        <v>149</v>
      </c>
    </row>
    <row r="75" spans="1:6" x14ac:dyDescent="0.25">
      <c r="A75" t="s">
        <v>409</v>
      </c>
      <c r="B75" t="s">
        <v>148</v>
      </c>
      <c r="C75" t="s">
        <v>150</v>
      </c>
    </row>
    <row r="76" spans="1:6" x14ac:dyDescent="0.25">
      <c r="A76" t="s">
        <v>409</v>
      </c>
      <c r="B76" t="s">
        <v>398</v>
      </c>
    </row>
    <row r="77" spans="1:6" x14ac:dyDescent="0.25">
      <c r="A77" t="s">
        <v>409</v>
      </c>
      <c r="B77" t="s">
        <v>151</v>
      </c>
      <c r="C77" t="s">
        <v>97</v>
      </c>
      <c r="D77" t="s">
        <v>152</v>
      </c>
      <c r="E77" t="s">
        <v>9</v>
      </c>
      <c r="F77">
        <v>-21.85</v>
      </c>
    </row>
    <row r="78" spans="1:6" x14ac:dyDescent="0.25">
      <c r="A78" t="s">
        <v>409</v>
      </c>
      <c r="B78" t="s">
        <v>153</v>
      </c>
      <c r="C78" t="s">
        <v>48</v>
      </c>
      <c r="D78" t="s">
        <v>154</v>
      </c>
      <c r="F78">
        <v>-6.61</v>
      </c>
    </row>
    <row r="79" spans="1:6" x14ac:dyDescent="0.25">
      <c r="A79" t="s">
        <v>409</v>
      </c>
      <c r="B79" t="s">
        <v>47</v>
      </c>
      <c r="C79" t="s">
        <v>100</v>
      </c>
      <c r="F79">
        <v>-29.3</v>
      </c>
    </row>
    <row r="80" spans="1:6" x14ac:dyDescent="0.25">
      <c r="A80" t="s">
        <v>409</v>
      </c>
      <c r="B80" t="s">
        <v>155</v>
      </c>
      <c r="C80" t="s">
        <v>102</v>
      </c>
      <c r="D80" t="s">
        <v>27</v>
      </c>
      <c r="F80">
        <v>-19.84</v>
      </c>
    </row>
    <row r="81" spans="1:6" x14ac:dyDescent="0.25">
      <c r="A81" t="s">
        <v>409</v>
      </c>
      <c r="B81" t="s">
        <v>156</v>
      </c>
      <c r="C81" t="s">
        <v>106</v>
      </c>
      <c r="D81" t="s">
        <v>3</v>
      </c>
      <c r="F81">
        <v>-2.2799999999999998</v>
      </c>
    </row>
    <row r="82" spans="1:6" x14ac:dyDescent="0.25">
      <c r="A82" t="s">
        <v>409</v>
      </c>
      <c r="B82" t="s">
        <v>157</v>
      </c>
      <c r="C82" t="s">
        <v>158</v>
      </c>
      <c r="D82" t="s">
        <v>3</v>
      </c>
      <c r="F82">
        <v>-1.94</v>
      </c>
    </row>
    <row r="83" spans="1:6" x14ac:dyDescent="0.25">
      <c r="A83" t="s">
        <v>409</v>
      </c>
      <c r="B83" t="s">
        <v>159</v>
      </c>
      <c r="C83" t="s">
        <v>110</v>
      </c>
      <c r="D83" t="s">
        <v>64</v>
      </c>
      <c r="F83">
        <v>-4.75</v>
      </c>
    </row>
    <row r="84" spans="1:6" x14ac:dyDescent="0.25">
      <c r="A84" t="s">
        <v>409</v>
      </c>
      <c r="B84" t="s">
        <v>160</v>
      </c>
      <c r="C84" t="s">
        <v>112</v>
      </c>
      <c r="D84" t="s">
        <v>19</v>
      </c>
      <c r="F84">
        <v>-1.82</v>
      </c>
    </row>
    <row r="85" spans="1:6" x14ac:dyDescent="0.25">
      <c r="A85" t="s">
        <v>409</v>
      </c>
      <c r="B85" t="s">
        <v>161</v>
      </c>
      <c r="C85" t="s">
        <v>59</v>
      </c>
      <c r="D85" t="s">
        <v>19</v>
      </c>
      <c r="F85">
        <v>-5.14</v>
      </c>
    </row>
    <row r="86" spans="1:6" x14ac:dyDescent="0.25">
      <c r="A86" t="s">
        <v>409</v>
      </c>
      <c r="B86" t="s">
        <v>399</v>
      </c>
    </row>
    <row r="87" spans="1:6" x14ac:dyDescent="0.25">
      <c r="A87" t="s">
        <v>409</v>
      </c>
      <c r="B87" t="s">
        <v>162</v>
      </c>
      <c r="C87" t="s">
        <v>1</v>
      </c>
      <c r="D87" t="s">
        <v>27</v>
      </c>
      <c r="E87" t="s">
        <v>28</v>
      </c>
      <c r="F87">
        <v>-17.13</v>
      </c>
    </row>
    <row r="88" spans="1:6" x14ac:dyDescent="0.25">
      <c r="A88" t="s">
        <v>409</v>
      </c>
      <c r="B88" t="s">
        <v>163</v>
      </c>
      <c r="C88" t="s">
        <v>164</v>
      </c>
      <c r="D88" t="s">
        <v>55</v>
      </c>
      <c r="E88" t="s">
        <v>22</v>
      </c>
      <c r="F88">
        <v>-1.05</v>
      </c>
    </row>
    <row r="89" spans="1:6" x14ac:dyDescent="0.25">
      <c r="A89" t="s">
        <v>409</v>
      </c>
      <c r="B89" t="s">
        <v>165</v>
      </c>
      <c r="C89" t="s">
        <v>166</v>
      </c>
      <c r="D89" t="s">
        <v>12</v>
      </c>
      <c r="E89" t="s">
        <v>22</v>
      </c>
      <c r="F89">
        <v>0.73</v>
      </c>
    </row>
    <row r="90" spans="1:6" x14ac:dyDescent="0.25">
      <c r="A90" t="s">
        <v>409</v>
      </c>
      <c r="B90" t="s">
        <v>167</v>
      </c>
      <c r="C90" t="s">
        <v>30</v>
      </c>
      <c r="D90" t="s">
        <v>64</v>
      </c>
      <c r="F90">
        <v>-0.32</v>
      </c>
    </row>
    <row r="91" spans="1:6" x14ac:dyDescent="0.25">
      <c r="A91" t="s">
        <v>409</v>
      </c>
      <c r="B91" t="s">
        <v>168</v>
      </c>
      <c r="C91" t="s">
        <v>169</v>
      </c>
      <c r="D91" t="s">
        <v>2</v>
      </c>
      <c r="E91" t="s">
        <v>3</v>
      </c>
      <c r="F91">
        <v>0.11</v>
      </c>
    </row>
    <row r="92" spans="1:6" x14ac:dyDescent="0.25">
      <c r="A92" t="s">
        <v>409</v>
      </c>
      <c r="B92" t="s">
        <v>170</v>
      </c>
      <c r="C92" t="s">
        <v>171</v>
      </c>
      <c r="D92" t="s">
        <v>2</v>
      </c>
      <c r="E92" t="s">
        <v>3</v>
      </c>
      <c r="F92">
        <v>0.52</v>
      </c>
    </row>
    <row r="93" spans="1:6" x14ac:dyDescent="0.25">
      <c r="A93" t="s">
        <v>409</v>
      </c>
      <c r="B93" t="s">
        <v>172</v>
      </c>
      <c r="C93" t="s">
        <v>32</v>
      </c>
      <c r="D93" t="s">
        <v>69</v>
      </c>
      <c r="E93" t="s">
        <v>118</v>
      </c>
      <c r="F93">
        <v>5.14</v>
      </c>
    </row>
    <row r="94" spans="1:6" x14ac:dyDescent="0.25">
      <c r="A94" t="s">
        <v>409</v>
      </c>
      <c r="B94" t="s">
        <v>173</v>
      </c>
      <c r="C94" t="s">
        <v>36</v>
      </c>
      <c r="D94" t="s">
        <v>9</v>
      </c>
      <c r="E94" t="s">
        <v>118</v>
      </c>
      <c r="F94">
        <v>-3.88</v>
      </c>
    </row>
    <row r="95" spans="1:6" x14ac:dyDescent="0.25">
      <c r="A95" t="s">
        <v>409</v>
      </c>
      <c r="B95" t="s">
        <v>174</v>
      </c>
      <c r="C95" t="s">
        <v>175</v>
      </c>
      <c r="D95" t="s">
        <v>12</v>
      </c>
      <c r="E95" t="s">
        <v>15</v>
      </c>
      <c r="F95">
        <v>1.18</v>
      </c>
    </row>
    <row r="96" spans="1:6" x14ac:dyDescent="0.25">
      <c r="A96" t="s">
        <v>409</v>
      </c>
      <c r="B96" t="s">
        <v>176</v>
      </c>
      <c r="C96" t="s">
        <v>177</v>
      </c>
      <c r="D96" t="s">
        <v>12</v>
      </c>
      <c r="E96" t="s">
        <v>15</v>
      </c>
      <c r="F96">
        <v>-2.38</v>
      </c>
    </row>
    <row r="97" spans="1:6" x14ac:dyDescent="0.25">
      <c r="A97" t="s">
        <v>409</v>
      </c>
      <c r="B97" t="s">
        <v>178</v>
      </c>
      <c r="C97" t="s">
        <v>44</v>
      </c>
      <c r="D97" t="s">
        <v>69</v>
      </c>
      <c r="E97" t="s">
        <v>118</v>
      </c>
      <c r="F97">
        <v>0.78</v>
      </c>
    </row>
    <row r="98" spans="1:6" x14ac:dyDescent="0.25">
      <c r="A98" t="s">
        <v>409</v>
      </c>
      <c r="B98" t="s">
        <v>179</v>
      </c>
      <c r="C98" t="s">
        <v>46</v>
      </c>
      <c r="D98" t="s">
        <v>9</v>
      </c>
      <c r="E98" t="s">
        <v>118</v>
      </c>
      <c r="F98">
        <v>-0.41</v>
      </c>
    </row>
    <row r="99" spans="1:6" x14ac:dyDescent="0.25">
      <c r="A99" t="s">
        <v>409</v>
      </c>
      <c r="B99" t="s">
        <v>400</v>
      </c>
    </row>
    <row r="100" spans="1:6" x14ac:dyDescent="0.25">
      <c r="A100" t="s">
        <v>409</v>
      </c>
      <c r="B100" t="s">
        <v>180</v>
      </c>
      <c r="C100" t="s">
        <v>181</v>
      </c>
    </row>
    <row r="101" spans="1:6" x14ac:dyDescent="0.25">
      <c r="A101" t="s">
        <v>409</v>
      </c>
      <c r="B101" t="s">
        <v>182</v>
      </c>
      <c r="C101" t="s">
        <v>122</v>
      </c>
      <c r="D101" t="s">
        <v>118</v>
      </c>
      <c r="F101">
        <v>0.35</v>
      </c>
    </row>
    <row r="102" spans="1:6" x14ac:dyDescent="0.25">
      <c r="A102" t="s">
        <v>409</v>
      </c>
      <c r="B102" t="s">
        <v>183</v>
      </c>
      <c r="C102" t="s">
        <v>184</v>
      </c>
      <c r="D102" t="s">
        <v>3</v>
      </c>
      <c r="F102">
        <v>8.6</v>
      </c>
    </row>
    <row r="103" spans="1:6" x14ac:dyDescent="0.25">
      <c r="A103" t="s">
        <v>409</v>
      </c>
      <c r="B103" t="s">
        <v>185</v>
      </c>
      <c r="C103" t="s">
        <v>186</v>
      </c>
      <c r="D103" t="s">
        <v>187</v>
      </c>
      <c r="F103">
        <v>-0.44</v>
      </c>
    </row>
    <row r="104" spans="1:6" x14ac:dyDescent="0.25">
      <c r="A104" t="s">
        <v>409</v>
      </c>
      <c r="B104" t="s">
        <v>188</v>
      </c>
      <c r="C104" t="s">
        <v>189</v>
      </c>
      <c r="D104" t="s">
        <v>87</v>
      </c>
      <c r="F104">
        <v>3.63</v>
      </c>
    </row>
    <row r="105" spans="1:6" x14ac:dyDescent="0.25">
      <c r="A105" t="s">
        <v>409</v>
      </c>
      <c r="B105" t="s">
        <v>190</v>
      </c>
      <c r="C105" t="s">
        <v>191</v>
      </c>
      <c r="D105" t="s">
        <v>87</v>
      </c>
      <c r="F105">
        <v>-0.95</v>
      </c>
    </row>
    <row r="106" spans="1:6" x14ac:dyDescent="0.25">
      <c r="A106" t="s">
        <v>409</v>
      </c>
      <c r="B106" t="s">
        <v>192</v>
      </c>
      <c r="C106" t="s">
        <v>128</v>
      </c>
      <c r="D106" t="s">
        <v>3</v>
      </c>
      <c r="F106">
        <v>-3.33</v>
      </c>
    </row>
    <row r="107" spans="1:6" x14ac:dyDescent="0.25">
      <c r="A107" t="s">
        <v>409</v>
      </c>
      <c r="B107" t="s">
        <v>401</v>
      </c>
    </row>
    <row r="108" spans="1:6" x14ac:dyDescent="0.25">
      <c r="A108" t="s">
        <v>409</v>
      </c>
      <c r="B108" t="s">
        <v>193</v>
      </c>
      <c r="C108" t="s">
        <v>134</v>
      </c>
      <c r="D108" t="s">
        <v>194</v>
      </c>
      <c r="F108">
        <v>-0.39</v>
      </c>
    </row>
    <row r="109" spans="1:6" x14ac:dyDescent="0.25">
      <c r="A109" t="s">
        <v>409</v>
      </c>
      <c r="B109" t="s">
        <v>119</v>
      </c>
      <c r="C109" t="s">
        <v>138</v>
      </c>
      <c r="D109" t="s">
        <v>18</v>
      </c>
      <c r="F109">
        <v>0.73</v>
      </c>
    </row>
    <row r="110" spans="1:6" x14ac:dyDescent="0.25">
      <c r="A110" t="s">
        <v>409</v>
      </c>
      <c r="B110" t="s">
        <v>195</v>
      </c>
      <c r="C110" t="s">
        <v>141</v>
      </c>
      <c r="D110" t="s">
        <v>69</v>
      </c>
      <c r="E110" t="s">
        <v>118</v>
      </c>
      <c r="F110">
        <v>0.38</v>
      </c>
    </row>
    <row r="111" spans="1:6" x14ac:dyDescent="0.25">
      <c r="A111" t="s">
        <v>409</v>
      </c>
      <c r="B111" t="s">
        <v>196</v>
      </c>
      <c r="C111" t="s">
        <v>143</v>
      </c>
      <c r="D111" t="s">
        <v>69</v>
      </c>
      <c r="E111" t="s">
        <v>118</v>
      </c>
      <c r="F111">
        <v>0.89</v>
      </c>
    </row>
    <row r="112" spans="1:6" x14ac:dyDescent="0.25">
      <c r="A112" t="s">
        <v>409</v>
      </c>
      <c r="B112" t="s">
        <v>197</v>
      </c>
      <c r="C112" t="s">
        <v>198</v>
      </c>
      <c r="D112" t="s">
        <v>9</v>
      </c>
      <c r="E112" t="s">
        <v>19</v>
      </c>
      <c r="F112">
        <v>-0.76</v>
      </c>
    </row>
    <row r="113" spans="1:6" x14ac:dyDescent="0.25">
      <c r="A113" t="s">
        <v>409</v>
      </c>
      <c r="B113" t="s">
        <v>199</v>
      </c>
      <c r="C113" t="s">
        <v>200</v>
      </c>
      <c r="D113" t="s">
        <v>69</v>
      </c>
      <c r="E113" t="s">
        <v>19</v>
      </c>
      <c r="F113">
        <v>-0.32</v>
      </c>
    </row>
    <row r="114" spans="1:6" x14ac:dyDescent="0.25">
      <c r="A114" t="s">
        <v>409</v>
      </c>
      <c r="B114" t="s">
        <v>201</v>
      </c>
      <c r="C114" t="s">
        <v>202</v>
      </c>
      <c r="D114" t="s">
        <v>152</v>
      </c>
      <c r="E114" t="s">
        <v>9</v>
      </c>
      <c r="F114">
        <v>1.05</v>
      </c>
    </row>
    <row r="115" spans="1:6" x14ac:dyDescent="0.25">
      <c r="A115" t="s">
        <v>409</v>
      </c>
      <c r="B115" t="s">
        <v>203</v>
      </c>
      <c r="C115" t="s">
        <v>150</v>
      </c>
      <c r="D115" t="s">
        <v>118</v>
      </c>
      <c r="E115" t="s">
        <v>9</v>
      </c>
      <c r="F115">
        <v>1.46</v>
      </c>
    </row>
    <row r="116" spans="1:6" x14ac:dyDescent="0.25">
      <c r="A116" t="s">
        <v>409</v>
      </c>
      <c r="B116" t="s">
        <v>204</v>
      </c>
      <c r="C116" t="s">
        <v>205</v>
      </c>
      <c r="D116" t="s">
        <v>37</v>
      </c>
      <c r="E116" t="s">
        <v>206</v>
      </c>
      <c r="F116">
        <v>-4.55</v>
      </c>
    </row>
    <row r="117" spans="1:6" x14ac:dyDescent="0.25">
      <c r="A117" t="s">
        <v>409</v>
      </c>
      <c r="B117" t="s">
        <v>207</v>
      </c>
      <c r="C117" t="s">
        <v>61</v>
      </c>
      <c r="D117" t="s">
        <v>27</v>
      </c>
      <c r="E117" t="s">
        <v>28</v>
      </c>
      <c r="F117">
        <v>-0.4</v>
      </c>
    </row>
    <row r="118" spans="1:6" x14ac:dyDescent="0.25">
      <c r="A118" t="s">
        <v>409</v>
      </c>
      <c r="B118" t="s">
        <v>208</v>
      </c>
      <c r="C118" t="s">
        <v>63</v>
      </c>
      <c r="D118" t="s">
        <v>12</v>
      </c>
      <c r="E118" t="s">
        <v>28</v>
      </c>
      <c r="F118">
        <v>-0.64</v>
      </c>
    </row>
    <row r="119" spans="1:6" x14ac:dyDescent="0.25">
      <c r="A119" t="s">
        <v>409</v>
      </c>
      <c r="B119" t="s">
        <v>209</v>
      </c>
      <c r="C119" t="s">
        <v>210</v>
      </c>
      <c r="D119" t="s">
        <v>37</v>
      </c>
      <c r="E119" t="s">
        <v>206</v>
      </c>
      <c r="F119">
        <v>2.85</v>
      </c>
    </row>
    <row r="120" spans="1:6" x14ac:dyDescent="0.25">
      <c r="A120" t="s">
        <v>409</v>
      </c>
      <c r="B120" t="s">
        <v>211</v>
      </c>
      <c r="C120" t="s">
        <v>212</v>
      </c>
      <c r="D120" t="s">
        <v>37</v>
      </c>
      <c r="E120" t="s">
        <v>206</v>
      </c>
      <c r="F120">
        <v>1.99</v>
      </c>
    </row>
    <row r="121" spans="1:6" x14ac:dyDescent="0.25">
      <c r="A121" t="s">
        <v>409</v>
      </c>
      <c r="B121" t="s">
        <v>213</v>
      </c>
      <c r="C121" t="s">
        <v>214</v>
      </c>
      <c r="D121" t="s">
        <v>118</v>
      </c>
      <c r="E121" t="s">
        <v>22</v>
      </c>
      <c r="F121">
        <v>-0.26</v>
      </c>
    </row>
    <row r="122" spans="1:6" x14ac:dyDescent="0.25">
      <c r="A122" t="s">
        <v>409</v>
      </c>
      <c r="B122" t="s">
        <v>215</v>
      </c>
      <c r="C122" t="s">
        <v>216</v>
      </c>
      <c r="D122" t="s">
        <v>87</v>
      </c>
      <c r="E122" t="s">
        <v>22</v>
      </c>
      <c r="F122">
        <v>7.0000000000000007E-2</v>
      </c>
    </row>
    <row r="123" spans="1:6" x14ac:dyDescent="0.25">
      <c r="A123" t="s">
        <v>409</v>
      </c>
      <c r="B123" t="s">
        <v>217</v>
      </c>
      <c r="C123" t="s">
        <v>79</v>
      </c>
      <c r="D123" t="s">
        <v>37</v>
      </c>
      <c r="E123" t="s">
        <v>206</v>
      </c>
      <c r="F123">
        <v>-2.48</v>
      </c>
    </row>
    <row r="124" spans="1:6" x14ac:dyDescent="0.25">
      <c r="A124" t="s">
        <v>409</v>
      </c>
      <c r="B124" t="s">
        <v>218</v>
      </c>
      <c r="C124" t="s">
        <v>81</v>
      </c>
      <c r="D124" t="s">
        <v>37</v>
      </c>
      <c r="E124" t="s">
        <v>206</v>
      </c>
      <c r="F124">
        <v>-1.64</v>
      </c>
    </row>
    <row r="125" spans="1:6" x14ac:dyDescent="0.25">
      <c r="A125" t="s">
        <v>409</v>
      </c>
      <c r="B125" t="s">
        <v>219</v>
      </c>
      <c r="C125" t="s">
        <v>220</v>
      </c>
      <c r="D125" t="s">
        <v>37</v>
      </c>
      <c r="E125" t="s">
        <v>206</v>
      </c>
      <c r="F125">
        <v>-3.79</v>
      </c>
    </row>
    <row r="126" spans="1:6" x14ac:dyDescent="0.25">
      <c r="A126" t="s">
        <v>409</v>
      </c>
      <c r="B126" t="s">
        <v>221</v>
      </c>
      <c r="C126" t="s">
        <v>222</v>
      </c>
      <c r="D126" t="s">
        <v>37</v>
      </c>
      <c r="E126" t="s">
        <v>206</v>
      </c>
      <c r="F126">
        <v>1.1000000000000001</v>
      </c>
    </row>
    <row r="127" spans="1:6" x14ac:dyDescent="0.25">
      <c r="A127" t="s">
        <v>409</v>
      </c>
      <c r="B127" t="s">
        <v>223</v>
      </c>
      <c r="C127" t="s">
        <v>86</v>
      </c>
      <c r="D127" t="s">
        <v>37</v>
      </c>
      <c r="E127" t="s">
        <v>206</v>
      </c>
      <c r="F127">
        <v>-0.57999999999999996</v>
      </c>
    </row>
    <row r="128" spans="1:6" x14ac:dyDescent="0.25">
      <c r="A128" t="s">
        <v>409</v>
      </c>
      <c r="B128" t="s">
        <v>224</v>
      </c>
      <c r="C128" t="s">
        <v>89</v>
      </c>
      <c r="D128" t="s">
        <v>37</v>
      </c>
      <c r="E128" t="s">
        <v>206</v>
      </c>
      <c r="F128">
        <v>3.91</v>
      </c>
    </row>
    <row r="129" spans="1:6" x14ac:dyDescent="0.25">
      <c r="A129" t="s">
        <v>409</v>
      </c>
      <c r="B129" t="s">
        <v>225</v>
      </c>
      <c r="C129" t="s">
        <v>226</v>
      </c>
      <c r="D129" t="s">
        <v>37</v>
      </c>
      <c r="E129" t="s">
        <v>206</v>
      </c>
      <c r="F129">
        <v>0.52</v>
      </c>
    </row>
    <row r="130" spans="1:6" x14ac:dyDescent="0.25">
      <c r="A130" t="s">
        <v>409</v>
      </c>
      <c r="B130" t="s">
        <v>227</v>
      </c>
      <c r="C130" t="s">
        <v>228</v>
      </c>
      <c r="D130" t="s">
        <v>37</v>
      </c>
      <c r="E130" t="s">
        <v>206</v>
      </c>
      <c r="F130">
        <v>7.4</v>
      </c>
    </row>
    <row r="131" spans="1:6" x14ac:dyDescent="0.25">
      <c r="A131" t="s">
        <v>409</v>
      </c>
      <c r="B131" t="s">
        <v>402</v>
      </c>
    </row>
    <row r="132" spans="1:6" x14ac:dyDescent="0.25">
      <c r="A132" t="s">
        <v>409</v>
      </c>
      <c r="B132" t="s">
        <v>229</v>
      </c>
      <c r="C132" t="s">
        <v>117</v>
      </c>
      <c r="D132" t="s">
        <v>9</v>
      </c>
      <c r="E132" t="s">
        <v>19</v>
      </c>
      <c r="F132">
        <v>-1.05</v>
      </c>
    </row>
    <row r="133" spans="1:6" x14ac:dyDescent="0.25">
      <c r="A133" t="s">
        <v>409</v>
      </c>
      <c r="B133" t="s">
        <v>230</v>
      </c>
      <c r="C133" t="s">
        <v>120</v>
      </c>
      <c r="D133" t="s">
        <v>22</v>
      </c>
      <c r="E133" t="s">
        <v>19</v>
      </c>
      <c r="F133">
        <v>-1.1299999999999999</v>
      </c>
    </row>
    <row r="134" spans="1:6" x14ac:dyDescent="0.25">
      <c r="A134" t="s">
        <v>409</v>
      </c>
      <c r="B134" t="s">
        <v>231</v>
      </c>
      <c r="C134" t="s">
        <v>232</v>
      </c>
      <c r="D134" t="s">
        <v>9</v>
      </c>
      <c r="E134" t="s">
        <v>19</v>
      </c>
      <c r="F134">
        <v>-1.26</v>
      </c>
    </row>
    <row r="135" spans="1:6" x14ac:dyDescent="0.25">
      <c r="A135" t="s">
        <v>409</v>
      </c>
      <c r="B135" t="s">
        <v>233</v>
      </c>
      <c r="C135" t="s">
        <v>234</v>
      </c>
      <c r="D135" t="s">
        <v>27</v>
      </c>
      <c r="E135" t="s">
        <v>19</v>
      </c>
      <c r="F135">
        <v>-2.94</v>
      </c>
    </row>
    <row r="136" spans="1:6" x14ac:dyDescent="0.25">
      <c r="A136" t="s">
        <v>409</v>
      </c>
      <c r="B136" t="s">
        <v>235</v>
      </c>
      <c r="C136" t="s">
        <v>236</v>
      </c>
      <c r="D136" t="s">
        <v>237</v>
      </c>
      <c r="E136" t="s">
        <v>19</v>
      </c>
      <c r="F136">
        <v>-7.77</v>
      </c>
    </row>
    <row r="137" spans="1:6" x14ac:dyDescent="0.25">
      <c r="A137" t="s">
        <v>409</v>
      </c>
      <c r="B137" t="s">
        <v>238</v>
      </c>
      <c r="C137" t="s">
        <v>239</v>
      </c>
      <c r="D137" t="s">
        <v>2</v>
      </c>
      <c r="E137" t="s">
        <v>19</v>
      </c>
      <c r="F137">
        <v>-6.94</v>
      </c>
    </row>
    <row r="138" spans="1:6" x14ac:dyDescent="0.25">
      <c r="A138" t="s">
        <v>409</v>
      </c>
      <c r="B138" t="s">
        <v>240</v>
      </c>
      <c r="C138" t="s">
        <v>184</v>
      </c>
      <c r="D138" t="s">
        <v>19</v>
      </c>
      <c r="F138">
        <v>6.3</v>
      </c>
    </row>
    <row r="139" spans="1:6" x14ac:dyDescent="0.25">
      <c r="A139" t="s">
        <v>409</v>
      </c>
      <c r="B139" t="s">
        <v>241</v>
      </c>
      <c r="C139" t="s">
        <v>242</v>
      </c>
      <c r="D139" t="s">
        <v>22</v>
      </c>
      <c r="E139" t="s">
        <v>87</v>
      </c>
      <c r="F139">
        <v>-3.64</v>
      </c>
    </row>
    <row r="140" spans="1:6" x14ac:dyDescent="0.25">
      <c r="A140" t="s">
        <v>409</v>
      </c>
      <c r="B140" t="s">
        <v>243</v>
      </c>
      <c r="C140" t="s">
        <v>186</v>
      </c>
      <c r="D140" t="s">
        <v>9</v>
      </c>
      <c r="E140" t="s">
        <v>87</v>
      </c>
      <c r="F140">
        <v>-0.46</v>
      </c>
    </row>
    <row r="141" spans="1:6" x14ac:dyDescent="0.25">
      <c r="A141" t="s">
        <v>409</v>
      </c>
      <c r="B141" t="s">
        <v>244</v>
      </c>
      <c r="C141" t="s">
        <v>126</v>
      </c>
      <c r="D141" t="s">
        <v>118</v>
      </c>
      <c r="F141">
        <v>3.87</v>
      </c>
    </row>
    <row r="142" spans="1:6" x14ac:dyDescent="0.25">
      <c r="A142" t="s">
        <v>409</v>
      </c>
      <c r="B142" t="s">
        <v>245</v>
      </c>
      <c r="C142" t="s">
        <v>246</v>
      </c>
      <c r="D142" t="s">
        <v>69</v>
      </c>
      <c r="E142" t="s">
        <v>118</v>
      </c>
      <c r="F142">
        <v>-2.39</v>
      </c>
    </row>
    <row r="143" spans="1:6" x14ac:dyDescent="0.25">
      <c r="A143" t="s">
        <v>409</v>
      </c>
      <c r="B143" t="s">
        <v>247</v>
      </c>
      <c r="C143" t="s">
        <v>191</v>
      </c>
      <c r="D143" t="s">
        <v>69</v>
      </c>
      <c r="E143" t="s">
        <v>118</v>
      </c>
      <c r="F143">
        <v>-3.11</v>
      </c>
    </row>
    <row r="144" spans="1:6" x14ac:dyDescent="0.25">
      <c r="A144" t="s">
        <v>409</v>
      </c>
      <c r="B144" t="s">
        <v>403</v>
      </c>
    </row>
    <row r="145" spans="1:6" x14ac:dyDescent="0.25">
      <c r="A145" t="s">
        <v>409</v>
      </c>
      <c r="B145" t="s">
        <v>248</v>
      </c>
      <c r="C145" t="s">
        <v>97</v>
      </c>
      <c r="D145" t="s">
        <v>33</v>
      </c>
      <c r="E145" t="s">
        <v>34</v>
      </c>
      <c r="F145">
        <v>-0.48</v>
      </c>
    </row>
    <row r="146" spans="1:6" x14ac:dyDescent="0.25">
      <c r="A146" t="s">
        <v>409</v>
      </c>
      <c r="B146" t="s">
        <v>249</v>
      </c>
      <c r="C146" t="s">
        <v>250</v>
      </c>
      <c r="D146" t="s">
        <v>37</v>
      </c>
      <c r="E146" t="s">
        <v>206</v>
      </c>
      <c r="F146">
        <v>-0.69</v>
      </c>
    </row>
    <row r="147" spans="1:6" x14ac:dyDescent="0.25">
      <c r="A147" t="s">
        <v>409</v>
      </c>
      <c r="B147" t="s">
        <v>251</v>
      </c>
      <c r="C147" t="s">
        <v>252</v>
      </c>
      <c r="D147" t="s">
        <v>37</v>
      </c>
      <c r="E147" t="s">
        <v>206</v>
      </c>
      <c r="F147">
        <v>-0.56999999999999995</v>
      </c>
    </row>
    <row r="148" spans="1:6" x14ac:dyDescent="0.25">
      <c r="A148" t="s">
        <v>409</v>
      </c>
      <c r="B148" t="s">
        <v>253</v>
      </c>
      <c r="C148" t="s">
        <v>254</v>
      </c>
      <c r="D148" t="s">
        <v>37</v>
      </c>
      <c r="E148" t="s">
        <v>206</v>
      </c>
      <c r="F148">
        <v>-3.6</v>
      </c>
    </row>
    <row r="149" spans="1:6" x14ac:dyDescent="0.25">
      <c r="A149" t="s">
        <v>409</v>
      </c>
      <c r="B149" t="s">
        <v>253</v>
      </c>
      <c r="C149" t="s">
        <v>255</v>
      </c>
      <c r="D149" t="s">
        <v>37</v>
      </c>
      <c r="E149" t="s">
        <v>206</v>
      </c>
      <c r="F149">
        <v>-3.6</v>
      </c>
    </row>
    <row r="150" spans="1:6" x14ac:dyDescent="0.25">
      <c r="A150" t="s">
        <v>409</v>
      </c>
      <c r="B150" t="s">
        <v>256</v>
      </c>
      <c r="C150" t="s">
        <v>257</v>
      </c>
      <c r="D150" t="s">
        <v>33</v>
      </c>
      <c r="E150" t="s">
        <v>34</v>
      </c>
      <c r="F150">
        <v>-2.61</v>
      </c>
    </row>
    <row r="151" spans="1:6" x14ac:dyDescent="0.25">
      <c r="A151" t="s">
        <v>409</v>
      </c>
      <c r="B151" t="s">
        <v>258</v>
      </c>
      <c r="C151" t="s">
        <v>52</v>
      </c>
      <c r="D151" t="s">
        <v>33</v>
      </c>
      <c r="E151" t="s">
        <v>34</v>
      </c>
      <c r="F151">
        <v>-2.4300000000000002</v>
      </c>
    </row>
    <row r="152" spans="1:6" x14ac:dyDescent="0.25">
      <c r="A152" t="s">
        <v>409</v>
      </c>
      <c r="B152" t="s">
        <v>259</v>
      </c>
      <c r="C152" t="s">
        <v>260</v>
      </c>
      <c r="D152" t="s">
        <v>37</v>
      </c>
      <c r="E152" t="s">
        <v>206</v>
      </c>
      <c r="F152">
        <v>1.86</v>
      </c>
    </row>
    <row r="153" spans="1:6" x14ac:dyDescent="0.25">
      <c r="A153" t="s">
        <v>409</v>
      </c>
      <c r="B153" t="s">
        <v>261</v>
      </c>
      <c r="C153" t="s">
        <v>158</v>
      </c>
      <c r="D153" t="s">
        <v>37</v>
      </c>
      <c r="E153" t="s">
        <v>206</v>
      </c>
      <c r="F153">
        <v>0.42</v>
      </c>
    </row>
    <row r="154" spans="1:6" x14ac:dyDescent="0.25">
      <c r="A154" t="s">
        <v>409</v>
      </c>
      <c r="B154" t="s">
        <v>262</v>
      </c>
      <c r="C154" t="s">
        <v>108</v>
      </c>
      <c r="D154" t="s">
        <v>33</v>
      </c>
      <c r="E154" t="s">
        <v>34</v>
      </c>
      <c r="F154">
        <v>-16.68</v>
      </c>
    </row>
    <row r="155" spans="1:6" x14ac:dyDescent="0.25">
      <c r="A155" t="s">
        <v>409</v>
      </c>
      <c r="B155" t="s">
        <v>263</v>
      </c>
      <c r="C155" t="s">
        <v>54</v>
      </c>
      <c r="D155" t="s">
        <v>37</v>
      </c>
      <c r="E155" t="s">
        <v>34</v>
      </c>
      <c r="F155">
        <v>-10.61</v>
      </c>
    </row>
    <row r="156" spans="1:6" x14ac:dyDescent="0.25">
      <c r="A156" t="s">
        <v>409</v>
      </c>
      <c r="B156" t="s">
        <v>264</v>
      </c>
      <c r="C156" t="s">
        <v>265</v>
      </c>
      <c r="D156" t="s">
        <v>33</v>
      </c>
      <c r="E156" t="s">
        <v>34</v>
      </c>
      <c r="F156">
        <v>-12.48</v>
      </c>
    </row>
    <row r="157" spans="1:6" x14ac:dyDescent="0.25">
      <c r="A157" t="s">
        <v>409</v>
      </c>
      <c r="B157" t="s">
        <v>266</v>
      </c>
      <c r="C157" t="s">
        <v>110</v>
      </c>
      <c r="D157" t="s">
        <v>33</v>
      </c>
      <c r="E157" t="s">
        <v>34</v>
      </c>
      <c r="F157">
        <v>-11.05</v>
      </c>
    </row>
    <row r="158" spans="1:6" x14ac:dyDescent="0.25">
      <c r="A158" t="s">
        <v>409</v>
      </c>
      <c r="B158" t="s">
        <v>267</v>
      </c>
      <c r="C158" t="s">
        <v>268</v>
      </c>
      <c r="D158" t="s">
        <v>37</v>
      </c>
      <c r="E158" t="s">
        <v>206</v>
      </c>
      <c r="F158">
        <v>-1.08</v>
      </c>
    </row>
    <row r="159" spans="1:6" x14ac:dyDescent="0.25">
      <c r="A159" t="s">
        <v>409</v>
      </c>
      <c r="B159" t="s">
        <v>269</v>
      </c>
      <c r="C159" t="s">
        <v>112</v>
      </c>
      <c r="D159" t="s">
        <v>37</v>
      </c>
      <c r="E159" t="s">
        <v>206</v>
      </c>
      <c r="F159">
        <v>-0.67</v>
      </c>
    </row>
    <row r="160" spans="1:6" x14ac:dyDescent="0.25">
      <c r="A160" t="s">
        <v>409</v>
      </c>
      <c r="B160" t="s">
        <v>404</v>
      </c>
    </row>
    <row r="161" spans="1:6" x14ac:dyDescent="0.25">
      <c r="A161" t="s">
        <v>409</v>
      </c>
      <c r="B161" t="s">
        <v>270</v>
      </c>
      <c r="C161" t="s">
        <v>271</v>
      </c>
      <c r="D161" t="s">
        <v>12</v>
      </c>
      <c r="E161" t="s">
        <v>15</v>
      </c>
      <c r="F161">
        <v>-21.98</v>
      </c>
    </row>
    <row r="162" spans="1:6" x14ac:dyDescent="0.25">
      <c r="A162" t="s">
        <v>409</v>
      </c>
      <c r="B162" t="s">
        <v>272</v>
      </c>
      <c r="C162" t="s">
        <v>273</v>
      </c>
      <c r="D162" t="s">
        <v>22</v>
      </c>
      <c r="E162" t="s">
        <v>87</v>
      </c>
      <c r="F162">
        <v>-9</v>
      </c>
    </row>
    <row r="163" spans="1:6" x14ac:dyDescent="0.25">
      <c r="A163" t="s">
        <v>409</v>
      </c>
      <c r="B163" t="s">
        <v>274</v>
      </c>
      <c r="C163" t="s">
        <v>275</v>
      </c>
      <c r="D163" t="s">
        <v>22</v>
      </c>
      <c r="E163" t="s">
        <v>87</v>
      </c>
      <c r="F163">
        <v>-3.71</v>
      </c>
    </row>
    <row r="164" spans="1:6" x14ac:dyDescent="0.25">
      <c r="A164" t="s">
        <v>409</v>
      </c>
      <c r="B164" t="s">
        <v>276</v>
      </c>
      <c r="C164" t="s">
        <v>277</v>
      </c>
      <c r="D164" t="s">
        <v>69</v>
      </c>
      <c r="E164" t="s">
        <v>118</v>
      </c>
      <c r="F164">
        <v>-2.6</v>
      </c>
    </row>
    <row r="165" spans="1:6" x14ac:dyDescent="0.25">
      <c r="A165" t="s">
        <v>409</v>
      </c>
      <c r="B165" t="s">
        <v>278</v>
      </c>
      <c r="C165" t="s">
        <v>184</v>
      </c>
      <c r="D165" t="s">
        <v>9</v>
      </c>
      <c r="E165" t="s">
        <v>118</v>
      </c>
      <c r="F165">
        <v>-2.62</v>
      </c>
    </row>
    <row r="166" spans="1:6" x14ac:dyDescent="0.25">
      <c r="A166" t="s">
        <v>409</v>
      </c>
      <c r="B166" t="s">
        <v>279</v>
      </c>
      <c r="C166" t="s">
        <v>124</v>
      </c>
      <c r="D166" t="s">
        <v>87</v>
      </c>
      <c r="F166">
        <v>-11.26</v>
      </c>
    </row>
    <row r="167" spans="1:6" x14ac:dyDescent="0.25">
      <c r="A167" t="s">
        <v>409</v>
      </c>
      <c r="B167" t="s">
        <v>280</v>
      </c>
      <c r="C167" t="s">
        <v>281</v>
      </c>
    </row>
    <row r="168" spans="1:6" x14ac:dyDescent="0.25">
      <c r="A168" t="s">
        <v>409</v>
      </c>
      <c r="B168" t="s">
        <v>282</v>
      </c>
      <c r="C168" t="s">
        <v>283</v>
      </c>
      <c r="D168" t="s">
        <v>2</v>
      </c>
      <c r="E168" t="s">
        <v>3</v>
      </c>
      <c r="F168">
        <v>-10.38</v>
      </c>
    </row>
    <row r="169" spans="1:6" x14ac:dyDescent="0.25">
      <c r="A169" t="s">
        <v>409</v>
      </c>
      <c r="B169" t="s">
        <v>284</v>
      </c>
      <c r="C169" t="s">
        <v>285</v>
      </c>
      <c r="D169" t="s">
        <v>22</v>
      </c>
      <c r="E169" t="s">
        <v>3</v>
      </c>
      <c r="F169">
        <v>-6.78</v>
      </c>
    </row>
    <row r="170" spans="1:6" x14ac:dyDescent="0.25">
      <c r="A170" t="s">
        <v>409</v>
      </c>
      <c r="B170" t="s">
        <v>286</v>
      </c>
      <c r="C170" t="s">
        <v>128</v>
      </c>
      <c r="D170" t="s">
        <v>82</v>
      </c>
      <c r="F170">
        <v>1.21</v>
      </c>
    </row>
    <row r="171" spans="1:6" x14ac:dyDescent="0.25">
      <c r="A171" t="s">
        <v>409</v>
      </c>
      <c r="B171" t="s">
        <v>405</v>
      </c>
    </row>
    <row r="172" spans="1:6" x14ac:dyDescent="0.25">
      <c r="A172" t="s">
        <v>409</v>
      </c>
      <c r="B172" t="s">
        <v>287</v>
      </c>
      <c r="C172" t="s">
        <v>288</v>
      </c>
      <c r="D172" t="s">
        <v>12</v>
      </c>
      <c r="E172" t="s">
        <v>15</v>
      </c>
      <c r="F172">
        <v>2.2799999999999998</v>
      </c>
    </row>
    <row r="173" spans="1:6" x14ac:dyDescent="0.25">
      <c r="A173" t="s">
        <v>409</v>
      </c>
      <c r="B173" t="s">
        <v>289</v>
      </c>
      <c r="C173" t="s">
        <v>290</v>
      </c>
      <c r="D173" t="s">
        <v>118</v>
      </c>
      <c r="E173" t="s">
        <v>15</v>
      </c>
      <c r="F173">
        <v>2.71</v>
      </c>
    </row>
    <row r="174" spans="1:6" x14ac:dyDescent="0.25">
      <c r="A174" t="s">
        <v>409</v>
      </c>
      <c r="B174" t="s">
        <v>291</v>
      </c>
      <c r="C174" t="s">
        <v>132</v>
      </c>
      <c r="D174" t="s">
        <v>118</v>
      </c>
      <c r="E174" t="s">
        <v>22</v>
      </c>
      <c r="F174">
        <v>1.25</v>
      </c>
    </row>
    <row r="175" spans="1:6" x14ac:dyDescent="0.25">
      <c r="A175" t="s">
        <v>409</v>
      </c>
      <c r="B175" t="s">
        <v>292</v>
      </c>
      <c r="C175" t="s">
        <v>134</v>
      </c>
      <c r="D175" t="s">
        <v>2</v>
      </c>
      <c r="E175" t="s">
        <v>22</v>
      </c>
      <c r="F175">
        <v>1.71</v>
      </c>
    </row>
    <row r="176" spans="1:6" x14ac:dyDescent="0.25">
      <c r="A176" t="s">
        <v>409</v>
      </c>
      <c r="B176" t="s">
        <v>293</v>
      </c>
      <c r="C176" t="s">
        <v>138</v>
      </c>
      <c r="D176" t="s">
        <v>15</v>
      </c>
      <c r="F176">
        <v>1.22</v>
      </c>
    </row>
    <row r="177" spans="1:6" x14ac:dyDescent="0.25">
      <c r="A177" t="s">
        <v>409</v>
      </c>
      <c r="B177" t="s">
        <v>294</v>
      </c>
      <c r="C177" t="s">
        <v>295</v>
      </c>
      <c r="D177" t="s">
        <v>28</v>
      </c>
      <c r="E177" t="s">
        <v>33</v>
      </c>
      <c r="F177">
        <v>1.07</v>
      </c>
    </row>
    <row r="178" spans="1:6" x14ac:dyDescent="0.25">
      <c r="A178" t="s">
        <v>409</v>
      </c>
      <c r="B178" t="s">
        <v>296</v>
      </c>
      <c r="C178" t="s">
        <v>297</v>
      </c>
      <c r="D178" t="s">
        <v>3</v>
      </c>
      <c r="E178" t="s">
        <v>33</v>
      </c>
      <c r="F178">
        <v>1.0900000000000001</v>
      </c>
    </row>
    <row r="179" spans="1:6" x14ac:dyDescent="0.25">
      <c r="A179" t="s">
        <v>409</v>
      </c>
      <c r="B179" t="s">
        <v>298</v>
      </c>
      <c r="C179" t="s">
        <v>145</v>
      </c>
      <c r="D179" t="s">
        <v>33</v>
      </c>
      <c r="E179" t="s">
        <v>34</v>
      </c>
      <c r="F179">
        <v>0.83</v>
      </c>
    </row>
    <row r="180" spans="1:6" x14ac:dyDescent="0.25">
      <c r="A180" t="s">
        <v>409</v>
      </c>
      <c r="B180" t="s">
        <v>299</v>
      </c>
      <c r="C180" t="s">
        <v>147</v>
      </c>
      <c r="D180" t="s">
        <v>12</v>
      </c>
      <c r="E180" t="s">
        <v>34</v>
      </c>
      <c r="F180">
        <v>1.79</v>
      </c>
    </row>
    <row r="181" spans="1:6" x14ac:dyDescent="0.25">
      <c r="A181" t="s">
        <v>409</v>
      </c>
      <c r="B181" t="s">
        <v>300</v>
      </c>
      <c r="C181" t="s">
        <v>301</v>
      </c>
      <c r="D181" t="s">
        <v>3</v>
      </c>
      <c r="F181">
        <v>2.37</v>
      </c>
    </row>
    <row r="182" spans="1:6" x14ac:dyDescent="0.25">
      <c r="A182" t="s">
        <v>409</v>
      </c>
      <c r="B182" t="s">
        <v>302</v>
      </c>
      <c r="C182" t="s">
        <v>303</v>
      </c>
      <c r="D182" t="s">
        <v>12</v>
      </c>
      <c r="E182" t="s">
        <v>15</v>
      </c>
      <c r="F182">
        <v>2.14</v>
      </c>
    </row>
    <row r="183" spans="1:6" x14ac:dyDescent="0.25">
      <c r="A183" t="s">
        <v>409</v>
      </c>
      <c r="B183" t="s">
        <v>304</v>
      </c>
      <c r="C183" t="s">
        <v>305</v>
      </c>
      <c r="D183" t="s">
        <v>12</v>
      </c>
      <c r="E183" t="s">
        <v>15</v>
      </c>
      <c r="F183">
        <v>4.78</v>
      </c>
    </row>
    <row r="184" spans="1:6" x14ac:dyDescent="0.25">
      <c r="A184" t="s">
        <v>409</v>
      </c>
      <c r="B184" t="s">
        <v>148</v>
      </c>
      <c r="C184" t="s">
        <v>200</v>
      </c>
    </row>
    <row r="185" spans="1:6" x14ac:dyDescent="0.25">
      <c r="A185" t="s">
        <v>409</v>
      </c>
      <c r="B185" t="s">
        <v>406</v>
      </c>
    </row>
    <row r="186" spans="1:6" x14ac:dyDescent="0.25">
      <c r="A186" t="s">
        <v>409</v>
      </c>
      <c r="B186" t="s">
        <v>306</v>
      </c>
      <c r="C186" t="s">
        <v>97</v>
      </c>
      <c r="D186" t="s">
        <v>2</v>
      </c>
      <c r="E186" t="s">
        <v>3</v>
      </c>
      <c r="F186">
        <v>-42.32</v>
      </c>
    </row>
    <row r="187" spans="1:6" x14ac:dyDescent="0.25">
      <c r="A187" t="s">
        <v>409</v>
      </c>
      <c r="B187" t="s">
        <v>307</v>
      </c>
      <c r="C187" t="s">
        <v>250</v>
      </c>
      <c r="D187" t="s">
        <v>69</v>
      </c>
      <c r="E187" t="s">
        <v>118</v>
      </c>
      <c r="F187">
        <v>0.28000000000000003</v>
      </c>
    </row>
    <row r="188" spans="1:6" x14ac:dyDescent="0.25">
      <c r="A188" t="s">
        <v>409</v>
      </c>
      <c r="B188" t="s">
        <v>308</v>
      </c>
      <c r="C188" t="s">
        <v>252</v>
      </c>
      <c r="D188" t="s">
        <v>9</v>
      </c>
      <c r="E188" t="s">
        <v>118</v>
      </c>
      <c r="F188">
        <v>-0.24</v>
      </c>
    </row>
    <row r="189" spans="1:6" x14ac:dyDescent="0.25">
      <c r="A189" t="s">
        <v>409</v>
      </c>
      <c r="B189" t="s">
        <v>20</v>
      </c>
      <c r="C189" t="s">
        <v>309</v>
      </c>
      <c r="D189" t="s">
        <v>37</v>
      </c>
      <c r="E189" t="s">
        <v>206</v>
      </c>
      <c r="F189">
        <v>-1.89</v>
      </c>
    </row>
    <row r="190" spans="1:6" x14ac:dyDescent="0.25">
      <c r="A190" t="s">
        <v>409</v>
      </c>
      <c r="B190" t="s">
        <v>310</v>
      </c>
      <c r="C190" t="s">
        <v>50</v>
      </c>
      <c r="D190" t="s">
        <v>33</v>
      </c>
      <c r="E190" t="s">
        <v>206</v>
      </c>
      <c r="F190">
        <v>-1.52</v>
      </c>
    </row>
    <row r="191" spans="1:6" x14ac:dyDescent="0.25">
      <c r="A191" t="s">
        <v>409</v>
      </c>
      <c r="B191" t="s">
        <v>311</v>
      </c>
      <c r="C191" t="s">
        <v>312</v>
      </c>
      <c r="F191">
        <v>0.3</v>
      </c>
    </row>
    <row r="192" spans="1:6" x14ac:dyDescent="0.25">
      <c r="A192" t="s">
        <v>409</v>
      </c>
      <c r="B192" t="s">
        <v>313</v>
      </c>
      <c r="C192" t="s">
        <v>257</v>
      </c>
      <c r="D192" t="s">
        <v>12</v>
      </c>
      <c r="E192" t="s">
        <v>15</v>
      </c>
      <c r="F192">
        <v>-0.55000000000000004</v>
      </c>
    </row>
    <row r="193" spans="1:6" x14ac:dyDescent="0.25">
      <c r="A193" t="s">
        <v>409</v>
      </c>
      <c r="B193" t="s">
        <v>314</v>
      </c>
      <c r="C193" t="s">
        <v>52</v>
      </c>
      <c r="D193" t="s">
        <v>27</v>
      </c>
      <c r="E193" t="s">
        <v>15</v>
      </c>
      <c r="F193">
        <v>-0.62</v>
      </c>
    </row>
    <row r="194" spans="1:6" x14ac:dyDescent="0.25">
      <c r="A194" t="s">
        <v>409</v>
      </c>
      <c r="B194" t="s">
        <v>315</v>
      </c>
      <c r="C194" t="s">
        <v>104</v>
      </c>
      <c r="D194" t="s">
        <v>37</v>
      </c>
      <c r="E194" t="s">
        <v>206</v>
      </c>
      <c r="F194">
        <v>-5.31</v>
      </c>
    </row>
    <row r="195" spans="1:6" x14ac:dyDescent="0.25">
      <c r="A195" t="s">
        <v>409</v>
      </c>
      <c r="B195" t="s">
        <v>316</v>
      </c>
      <c r="C195" t="s">
        <v>106</v>
      </c>
      <c r="D195" t="s">
        <v>37</v>
      </c>
      <c r="E195" t="s">
        <v>206</v>
      </c>
      <c r="F195">
        <v>-3.4</v>
      </c>
    </row>
    <row r="196" spans="1:6" x14ac:dyDescent="0.25">
      <c r="A196" t="s">
        <v>409</v>
      </c>
      <c r="B196" t="s">
        <v>317</v>
      </c>
      <c r="C196" t="s">
        <v>260</v>
      </c>
      <c r="D196" t="s">
        <v>33</v>
      </c>
      <c r="E196" t="s">
        <v>34</v>
      </c>
      <c r="F196">
        <v>0.61</v>
      </c>
    </row>
    <row r="197" spans="1:6" x14ac:dyDescent="0.25">
      <c r="A197" t="s">
        <v>409</v>
      </c>
      <c r="B197" t="s">
        <v>318</v>
      </c>
      <c r="C197" t="s">
        <v>158</v>
      </c>
      <c r="D197" t="s">
        <v>33</v>
      </c>
      <c r="E197" t="s">
        <v>34</v>
      </c>
      <c r="F197">
        <v>1.05</v>
      </c>
    </row>
    <row r="198" spans="1:6" x14ac:dyDescent="0.25">
      <c r="A198" t="s">
        <v>409</v>
      </c>
      <c r="B198" t="s">
        <v>319</v>
      </c>
      <c r="C198" t="s">
        <v>320</v>
      </c>
      <c r="F198">
        <v>0.54</v>
      </c>
    </row>
    <row r="199" spans="1:6" x14ac:dyDescent="0.25">
      <c r="A199" t="s">
        <v>409</v>
      </c>
      <c r="B199" t="s">
        <v>321</v>
      </c>
      <c r="C199" t="s">
        <v>322</v>
      </c>
      <c r="D199" t="s">
        <v>33</v>
      </c>
      <c r="E199" t="s">
        <v>34</v>
      </c>
      <c r="F199">
        <v>-1.73</v>
      </c>
    </row>
    <row r="200" spans="1:6" x14ac:dyDescent="0.25">
      <c r="A200" t="s">
        <v>409</v>
      </c>
      <c r="B200" t="s">
        <v>323</v>
      </c>
      <c r="C200" t="s">
        <v>57</v>
      </c>
      <c r="D200" t="s">
        <v>33</v>
      </c>
      <c r="E200" t="s">
        <v>34</v>
      </c>
      <c r="F200">
        <v>1.46</v>
      </c>
    </row>
    <row r="201" spans="1:6" x14ac:dyDescent="0.25">
      <c r="A201" t="s">
        <v>409</v>
      </c>
      <c r="B201" t="s">
        <v>324</v>
      </c>
      <c r="C201" t="s">
        <v>325</v>
      </c>
      <c r="D201" t="s">
        <v>37</v>
      </c>
      <c r="E201" t="s">
        <v>206</v>
      </c>
      <c r="F201">
        <v>-1.1200000000000001</v>
      </c>
    </row>
    <row r="202" spans="1:6" x14ac:dyDescent="0.25">
      <c r="A202" t="s">
        <v>409</v>
      </c>
      <c r="B202" t="s">
        <v>326</v>
      </c>
      <c r="C202" t="s">
        <v>59</v>
      </c>
      <c r="D202" t="s">
        <v>37</v>
      </c>
      <c r="E202" t="s">
        <v>206</v>
      </c>
      <c r="F202">
        <v>-0.4</v>
      </c>
    </row>
    <row r="203" spans="1:6" x14ac:dyDescent="0.25">
      <c r="A203" t="s">
        <v>409</v>
      </c>
      <c r="B203" t="s">
        <v>407</v>
      </c>
    </row>
    <row r="204" spans="1:6" x14ac:dyDescent="0.25">
      <c r="A204" t="s">
        <v>409</v>
      </c>
      <c r="B204" t="s">
        <v>327</v>
      </c>
      <c r="C204" t="s">
        <v>328</v>
      </c>
      <c r="D204" t="s">
        <v>152</v>
      </c>
      <c r="E204" t="s">
        <v>9</v>
      </c>
      <c r="F204">
        <v>-5.68</v>
      </c>
    </row>
    <row r="205" spans="1:6" x14ac:dyDescent="0.25">
      <c r="A205" t="s">
        <v>409</v>
      </c>
      <c r="B205" t="s">
        <v>329</v>
      </c>
      <c r="C205" t="s">
        <v>1</v>
      </c>
      <c r="D205" t="s">
        <v>9</v>
      </c>
      <c r="E205" t="s">
        <v>19</v>
      </c>
      <c r="F205">
        <v>-29.29</v>
      </c>
    </row>
    <row r="206" spans="1:6" x14ac:dyDescent="0.25">
      <c r="A206" t="s">
        <v>409</v>
      </c>
      <c r="B206" t="s">
        <v>330</v>
      </c>
      <c r="C206" t="s">
        <v>5</v>
      </c>
      <c r="F206">
        <v>-0.21</v>
      </c>
    </row>
    <row r="207" spans="1:6" x14ac:dyDescent="0.25">
      <c r="A207" t="s">
        <v>409</v>
      </c>
      <c r="B207" t="s">
        <v>331</v>
      </c>
      <c r="C207" t="s">
        <v>11</v>
      </c>
      <c r="D207" t="s">
        <v>332</v>
      </c>
      <c r="F207">
        <v>-3.82</v>
      </c>
    </row>
    <row r="208" spans="1:6" x14ac:dyDescent="0.25">
      <c r="A208" t="s">
        <v>409</v>
      </c>
      <c r="B208" t="s">
        <v>333</v>
      </c>
      <c r="C208" t="s">
        <v>21</v>
      </c>
      <c r="D208" t="s">
        <v>8</v>
      </c>
      <c r="F208">
        <v>-0.54</v>
      </c>
    </row>
    <row r="209" spans="1:6" x14ac:dyDescent="0.25">
      <c r="A209" t="s">
        <v>409</v>
      </c>
      <c r="B209" t="s">
        <v>334</v>
      </c>
      <c r="C209" t="s">
        <v>335</v>
      </c>
      <c r="D209" t="s">
        <v>336</v>
      </c>
      <c r="E209" t="s">
        <v>27</v>
      </c>
      <c r="F209">
        <v>-5.78</v>
      </c>
    </row>
    <row r="210" spans="1:6" x14ac:dyDescent="0.25">
      <c r="A210" t="s">
        <v>409</v>
      </c>
      <c r="B210" t="s">
        <v>337</v>
      </c>
      <c r="C210" t="s">
        <v>338</v>
      </c>
      <c r="D210" t="s">
        <v>3</v>
      </c>
      <c r="E210" t="s">
        <v>27</v>
      </c>
      <c r="F210">
        <v>-1.89</v>
      </c>
    </row>
    <row r="211" spans="1:6" x14ac:dyDescent="0.25">
      <c r="A211" t="s">
        <v>409</v>
      </c>
      <c r="B211" t="s">
        <v>339</v>
      </c>
      <c r="C211" t="s">
        <v>36</v>
      </c>
      <c r="D211" t="s">
        <v>187</v>
      </c>
      <c r="F211">
        <v>-4.8099999999999996</v>
      </c>
    </row>
    <row r="212" spans="1:6" x14ac:dyDescent="0.25">
      <c r="A212" t="s">
        <v>409</v>
      </c>
      <c r="B212" t="s">
        <v>340</v>
      </c>
      <c r="C212" t="s">
        <v>177</v>
      </c>
      <c r="D212" t="s">
        <v>154</v>
      </c>
      <c r="F212">
        <v>-2.13</v>
      </c>
    </row>
    <row r="213" spans="1:6" x14ac:dyDescent="0.25">
      <c r="A213" t="s">
        <v>409</v>
      </c>
      <c r="B213" t="s">
        <v>341</v>
      </c>
      <c r="C213" t="s">
        <v>46</v>
      </c>
      <c r="D213" t="s">
        <v>15</v>
      </c>
      <c r="F213">
        <v>-2.83</v>
      </c>
    </row>
    <row r="214" spans="1:6" x14ac:dyDescent="0.25">
      <c r="A214" t="s">
        <v>409</v>
      </c>
      <c r="B214" t="s">
        <v>408</v>
      </c>
    </row>
    <row r="215" spans="1:6" x14ac:dyDescent="0.25">
      <c r="A215" t="s">
        <v>409</v>
      </c>
      <c r="B215" t="s">
        <v>342</v>
      </c>
      <c r="C215" t="s">
        <v>343</v>
      </c>
      <c r="D215" t="s">
        <v>37</v>
      </c>
      <c r="E215" t="s">
        <v>206</v>
      </c>
      <c r="F215">
        <v>-25.47</v>
      </c>
    </row>
    <row r="216" spans="1:6" x14ac:dyDescent="0.25">
      <c r="A216" t="s">
        <v>409</v>
      </c>
      <c r="B216" t="s">
        <v>344</v>
      </c>
      <c r="C216" t="s">
        <v>345</v>
      </c>
      <c r="D216" t="s">
        <v>22</v>
      </c>
      <c r="E216" t="s">
        <v>3</v>
      </c>
      <c r="F216">
        <v>-19.29</v>
      </c>
    </row>
    <row r="217" spans="1:6" x14ac:dyDescent="0.25">
      <c r="A217" t="s">
        <v>409</v>
      </c>
      <c r="B217" t="s">
        <v>346</v>
      </c>
      <c r="C217" t="s">
        <v>115</v>
      </c>
      <c r="D217" t="s">
        <v>22</v>
      </c>
      <c r="E217" t="s">
        <v>3</v>
      </c>
      <c r="F217">
        <v>-16.600000000000001</v>
      </c>
    </row>
    <row r="218" spans="1:6" x14ac:dyDescent="0.25">
      <c r="A218" t="s">
        <v>409</v>
      </c>
      <c r="B218" t="s">
        <v>347</v>
      </c>
      <c r="C218" t="s">
        <v>273</v>
      </c>
      <c r="D218" t="s">
        <v>12</v>
      </c>
      <c r="E218" t="s">
        <v>15</v>
      </c>
      <c r="F218">
        <v>-42.61</v>
      </c>
    </row>
    <row r="219" spans="1:6" x14ac:dyDescent="0.25">
      <c r="A219" t="s">
        <v>409</v>
      </c>
      <c r="B219" t="s">
        <v>348</v>
      </c>
      <c r="C219" t="s">
        <v>275</v>
      </c>
      <c r="D219" t="s">
        <v>27</v>
      </c>
      <c r="E219" t="s">
        <v>15</v>
      </c>
      <c r="F219">
        <v>-30.23</v>
      </c>
    </row>
    <row r="220" spans="1:6" x14ac:dyDescent="0.25">
      <c r="A220" t="s">
        <v>409</v>
      </c>
      <c r="B220" t="s">
        <v>144</v>
      </c>
      <c r="C220" t="s">
        <v>349</v>
      </c>
      <c r="F220">
        <v>1.62</v>
      </c>
    </row>
    <row r="221" spans="1:6" x14ac:dyDescent="0.25">
      <c r="A221" t="s">
        <v>409</v>
      </c>
      <c r="B221" t="s">
        <v>350</v>
      </c>
      <c r="C221" t="s">
        <v>351</v>
      </c>
      <c r="D221" t="s">
        <v>27</v>
      </c>
      <c r="E221" t="s">
        <v>28</v>
      </c>
      <c r="F221">
        <v>-3.62</v>
      </c>
    </row>
    <row r="222" spans="1:6" x14ac:dyDescent="0.25">
      <c r="A222" t="s">
        <v>409</v>
      </c>
      <c r="B222" t="s">
        <v>352</v>
      </c>
      <c r="C222" t="s">
        <v>122</v>
      </c>
      <c r="D222" t="s">
        <v>2</v>
      </c>
      <c r="E222" t="s">
        <v>28</v>
      </c>
      <c r="F222">
        <v>-2.81</v>
      </c>
    </row>
    <row r="223" spans="1:6" x14ac:dyDescent="0.25">
      <c r="A223" t="s">
        <v>409</v>
      </c>
      <c r="B223" t="s">
        <v>353</v>
      </c>
      <c r="C223" t="s">
        <v>242</v>
      </c>
      <c r="D223" t="s">
        <v>9</v>
      </c>
      <c r="E223" t="s">
        <v>19</v>
      </c>
      <c r="F223">
        <v>-12.48</v>
      </c>
    </row>
    <row r="224" spans="1:6" x14ac:dyDescent="0.25">
      <c r="A224" t="s">
        <v>409</v>
      </c>
      <c r="B224" t="s">
        <v>354</v>
      </c>
      <c r="C224" t="s">
        <v>186</v>
      </c>
      <c r="D224" t="s">
        <v>22</v>
      </c>
      <c r="E224" t="s">
        <v>19</v>
      </c>
      <c r="F224">
        <v>-10.71</v>
      </c>
    </row>
    <row r="225" spans="1:6" x14ac:dyDescent="0.25">
      <c r="A225" t="s">
        <v>409</v>
      </c>
      <c r="B225" t="s">
        <v>355</v>
      </c>
      <c r="C225" t="s">
        <v>356</v>
      </c>
      <c r="D225" t="s">
        <v>9</v>
      </c>
      <c r="E225" t="s">
        <v>19</v>
      </c>
      <c r="F225">
        <v>-6.67</v>
      </c>
    </row>
    <row r="226" spans="1:6" x14ac:dyDescent="0.25">
      <c r="A226" t="s">
        <v>409</v>
      </c>
      <c r="B226" t="s">
        <v>357</v>
      </c>
      <c r="C226" t="s">
        <v>358</v>
      </c>
      <c r="D226" t="s">
        <v>9</v>
      </c>
      <c r="E226" t="s">
        <v>19</v>
      </c>
      <c r="F226">
        <v>-3.72</v>
      </c>
    </row>
    <row r="227" spans="1:6" x14ac:dyDescent="0.25">
      <c r="A227" t="s">
        <v>409</v>
      </c>
      <c r="B227" t="s">
        <v>359</v>
      </c>
      <c r="C227" t="s">
        <v>360</v>
      </c>
      <c r="D227" t="s">
        <v>2</v>
      </c>
      <c r="E227" t="s">
        <v>3</v>
      </c>
      <c r="F227">
        <v>-20.86</v>
      </c>
    </row>
    <row r="228" spans="1:6" x14ac:dyDescent="0.25">
      <c r="A228" t="s">
        <v>409</v>
      </c>
      <c r="B228" t="s">
        <v>361</v>
      </c>
      <c r="C228" t="s">
        <v>126</v>
      </c>
      <c r="D228" t="s">
        <v>2</v>
      </c>
      <c r="E228" t="s">
        <v>3</v>
      </c>
      <c r="F228">
        <v>-19.100000000000001</v>
      </c>
    </row>
    <row r="229" spans="1:6" x14ac:dyDescent="0.25">
      <c r="A229" t="s">
        <v>409</v>
      </c>
      <c r="B229" t="s">
        <v>362</v>
      </c>
      <c r="C229" t="s">
        <v>246</v>
      </c>
      <c r="D229" t="s">
        <v>9</v>
      </c>
      <c r="E229" t="s">
        <v>19</v>
      </c>
      <c r="F229">
        <v>-2.85</v>
      </c>
    </row>
    <row r="230" spans="1:6" x14ac:dyDescent="0.25">
      <c r="A230" t="s">
        <v>409</v>
      </c>
      <c r="B230" t="s">
        <v>363</v>
      </c>
      <c r="C230" t="s">
        <v>191</v>
      </c>
      <c r="D230" t="s">
        <v>27</v>
      </c>
      <c r="E230" t="s">
        <v>19</v>
      </c>
      <c r="F230">
        <v>-3.94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07422-EBED-48B5-B18F-3E66AFA31B42}">
  <dimension ref="A1:CA248"/>
  <sheetViews>
    <sheetView zoomScale="80" zoomScaleNormal="85" workbookViewId="0">
      <selection activeCell="L13" sqref="L13:M13"/>
    </sheetView>
  </sheetViews>
  <sheetFormatPr defaultRowHeight="15" outlineLevelRow="1" x14ac:dyDescent="0.25"/>
  <cols>
    <col min="1" max="1" width="53.28515625" customWidth="1"/>
    <col min="2" max="2" width="29.85546875" customWidth="1"/>
    <col min="3" max="3" width="10.85546875" bestFit="1" customWidth="1"/>
    <col min="4" max="4" width="10.85546875" customWidth="1"/>
    <col min="5" max="5" width="10.85546875" bestFit="1" customWidth="1"/>
    <col min="6" max="6" width="3.42578125" customWidth="1"/>
    <col min="7" max="7" width="16.85546875" bestFit="1" customWidth="1"/>
    <col min="8" max="8" width="5" bestFit="1" customWidth="1"/>
    <col min="9" max="9" width="3.7109375" bestFit="1" customWidth="1"/>
    <col min="10" max="11" width="6.28515625" bestFit="1" customWidth="1"/>
    <col min="12" max="12" width="5.140625" bestFit="1" customWidth="1"/>
    <col min="13" max="13" width="3.7109375" bestFit="1" customWidth="1"/>
    <col min="14" max="15" width="6.28515625" bestFit="1" customWidth="1"/>
    <col min="16" max="16" width="6" bestFit="1" customWidth="1"/>
    <col min="17" max="17" width="3.7109375" bestFit="1" customWidth="1"/>
    <col min="18" max="19" width="6.28515625" bestFit="1" customWidth="1"/>
    <col min="20" max="20" width="5.140625" bestFit="1" customWidth="1"/>
    <col min="21" max="21" width="3.7109375" bestFit="1" customWidth="1"/>
    <col min="22" max="24" width="6.28515625" bestFit="1" customWidth="1"/>
    <col min="25" max="25" width="3.7109375" bestFit="1" customWidth="1"/>
    <col min="26" max="26" width="6.28515625" bestFit="1" customWidth="1"/>
    <col min="27" max="27" width="7.28515625" bestFit="1" customWidth="1"/>
    <col min="28" max="28" width="3.85546875" bestFit="1" customWidth="1"/>
    <col min="29" max="29" width="3.7109375" bestFit="1" customWidth="1"/>
    <col min="30" max="30" width="6" bestFit="1" customWidth="1"/>
    <col min="31" max="31" width="2.28515625" bestFit="1" customWidth="1"/>
    <col min="32" max="32" width="3.85546875" bestFit="1" customWidth="1"/>
    <col min="33" max="33" width="3.7109375" bestFit="1" customWidth="1"/>
    <col min="34" max="34" width="6" bestFit="1" customWidth="1"/>
    <col min="35" max="35" width="2.28515625" bestFit="1" customWidth="1"/>
    <col min="36" max="36" width="3.85546875" bestFit="1" customWidth="1"/>
    <col min="37" max="37" width="3.7109375" bestFit="1" customWidth="1"/>
    <col min="38" max="38" width="6" bestFit="1" customWidth="1"/>
    <col min="39" max="39" width="2.28515625" bestFit="1" customWidth="1"/>
    <col min="40" max="40" width="3.85546875" bestFit="1" customWidth="1"/>
    <col min="41" max="41" width="3.7109375" bestFit="1" customWidth="1"/>
    <col min="42" max="42" width="6" bestFit="1" customWidth="1"/>
    <col min="43" max="43" width="2.28515625" bestFit="1" customWidth="1"/>
    <col min="44" max="44" width="3.85546875" bestFit="1" customWidth="1"/>
    <col min="45" max="45" width="3.7109375" bestFit="1" customWidth="1"/>
    <col min="46" max="46" width="6" bestFit="1" customWidth="1"/>
    <col min="47" max="47" width="2.28515625" bestFit="1" customWidth="1"/>
    <col min="48" max="48" width="3.85546875" bestFit="1" customWidth="1"/>
    <col min="49" max="49" width="3.7109375" bestFit="1" customWidth="1"/>
    <col min="50" max="50" width="6" bestFit="1" customWidth="1"/>
    <col min="51" max="51" width="2.28515625" bestFit="1" customWidth="1"/>
    <col min="52" max="52" width="3.85546875" bestFit="1" customWidth="1"/>
    <col min="53" max="53" width="3.7109375" bestFit="1" customWidth="1"/>
    <col min="54" max="54" width="6" bestFit="1" customWidth="1"/>
    <col min="55" max="55" width="2.28515625" bestFit="1" customWidth="1"/>
    <col min="56" max="56" width="3.85546875" bestFit="1" customWidth="1"/>
    <col min="57" max="57" width="3.7109375" bestFit="1" customWidth="1"/>
    <col min="58" max="58" width="6" bestFit="1" customWidth="1"/>
    <col min="59" max="59" width="2.28515625" bestFit="1" customWidth="1"/>
    <col min="60" max="60" width="3.85546875" bestFit="1" customWidth="1"/>
    <col min="61" max="61" width="3.7109375" bestFit="1" customWidth="1"/>
    <col min="62" max="62" width="6" bestFit="1" customWidth="1"/>
    <col min="63" max="63" width="2.28515625" bestFit="1" customWidth="1"/>
    <col min="64" max="64" width="3.85546875" bestFit="1" customWidth="1"/>
    <col min="65" max="65" width="3.7109375" bestFit="1" customWidth="1"/>
    <col min="66" max="66" width="6" bestFit="1" customWidth="1"/>
    <col min="67" max="67" width="2.28515625" bestFit="1" customWidth="1"/>
    <col min="78" max="84" width="9" customWidth="1"/>
  </cols>
  <sheetData>
    <row r="1" spans="1:79" ht="20.25" thickBot="1" x14ac:dyDescent="0.35">
      <c r="A1" s="52" t="s">
        <v>369</v>
      </c>
      <c r="B1" s="53"/>
      <c r="C1" s="53"/>
      <c r="D1" s="53"/>
      <c r="E1" s="53"/>
      <c r="F1" s="1"/>
      <c r="G1" s="54" t="s">
        <v>370</v>
      </c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  <c r="AQ1" s="55"/>
      <c r="AR1" s="55"/>
      <c r="AS1" s="55"/>
      <c r="AT1" s="55"/>
      <c r="AU1" s="55"/>
      <c r="AV1" s="55"/>
      <c r="AW1" s="55"/>
      <c r="AX1" s="55"/>
      <c r="AY1" s="55"/>
      <c r="AZ1" s="55"/>
      <c r="BA1" s="55"/>
      <c r="BB1" s="55"/>
      <c r="BC1" s="55"/>
      <c r="BD1" s="55"/>
      <c r="BE1" s="55"/>
      <c r="BF1" s="55"/>
      <c r="BG1" s="55"/>
      <c r="BH1" s="55"/>
      <c r="BI1" s="55"/>
      <c r="BJ1" s="55"/>
      <c r="BK1" s="55"/>
      <c r="BL1" s="55"/>
      <c r="BM1" s="55"/>
      <c r="BN1" s="55"/>
      <c r="BO1" s="56"/>
    </row>
    <row r="2" spans="1:79" ht="21" thickTop="1" thickBot="1" x14ac:dyDescent="0.35">
      <c r="A2" s="53"/>
      <c r="B2" s="53"/>
      <c r="C2" s="53"/>
      <c r="D2" s="53"/>
      <c r="E2" s="53"/>
      <c r="F2" s="1"/>
      <c r="G2" s="2" t="s">
        <v>371</v>
      </c>
      <c r="H2" s="26" t="s">
        <v>372</v>
      </c>
      <c r="I2" s="27"/>
      <c r="J2" s="27"/>
      <c r="K2" s="27"/>
      <c r="L2" s="27"/>
      <c r="M2" s="27"/>
      <c r="N2" s="27"/>
      <c r="O2" s="27"/>
      <c r="P2" s="27"/>
      <c r="Q2" s="27"/>
      <c r="R2" s="27"/>
      <c r="S2" s="28"/>
      <c r="T2" s="26" t="s">
        <v>373</v>
      </c>
      <c r="U2" s="27"/>
      <c r="V2" s="27"/>
      <c r="W2" s="27"/>
      <c r="X2" s="27"/>
      <c r="Y2" s="27"/>
      <c r="Z2" s="27"/>
      <c r="AA2" s="27"/>
      <c r="AB2" s="27"/>
      <c r="AC2" s="27"/>
      <c r="AD2" s="27"/>
      <c r="AE2" s="28"/>
      <c r="AF2" s="57" t="s">
        <v>374</v>
      </c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59"/>
      <c r="AR2" s="57" t="s">
        <v>375</v>
      </c>
      <c r="AS2" s="58"/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9"/>
      <c r="BU2" s="50" t="s">
        <v>376</v>
      </c>
      <c r="BV2" s="51"/>
      <c r="BW2" s="51"/>
      <c r="BX2" s="51"/>
      <c r="BY2" s="51"/>
      <c r="BZ2" s="51"/>
      <c r="CA2" s="51"/>
    </row>
    <row r="3" spans="1:79" ht="16.5" thickTop="1" thickBot="1" x14ac:dyDescent="0.3">
      <c r="A3" s="53"/>
      <c r="B3" s="53"/>
      <c r="C3" s="53"/>
      <c r="D3" s="53"/>
      <c r="E3" s="53"/>
      <c r="F3" s="1"/>
      <c r="G3" s="3" t="s">
        <v>377</v>
      </c>
      <c r="H3" s="29" t="s">
        <v>378</v>
      </c>
      <c r="I3" s="46"/>
      <c r="J3" s="46"/>
      <c r="K3" s="30"/>
      <c r="L3" s="29" t="s">
        <v>379</v>
      </c>
      <c r="M3" s="46"/>
      <c r="N3" s="46"/>
      <c r="O3" s="30"/>
      <c r="P3" s="29" t="s">
        <v>380</v>
      </c>
      <c r="Q3" s="46"/>
      <c r="R3" s="46"/>
      <c r="S3" s="30"/>
      <c r="T3" s="29" t="s">
        <v>378</v>
      </c>
      <c r="U3" s="46"/>
      <c r="V3" s="46"/>
      <c r="W3" s="30"/>
      <c r="X3" s="29" t="s">
        <v>379</v>
      </c>
      <c r="Y3" s="46"/>
      <c r="Z3" s="46"/>
      <c r="AA3" s="30"/>
      <c r="AB3" s="29" t="s">
        <v>380</v>
      </c>
      <c r="AC3" s="46"/>
      <c r="AD3" s="46"/>
      <c r="AE3" s="30"/>
      <c r="AF3" s="29" t="s">
        <v>378</v>
      </c>
      <c r="AG3" s="46"/>
      <c r="AH3" s="46"/>
      <c r="AI3" s="30"/>
      <c r="AJ3" s="29" t="s">
        <v>379</v>
      </c>
      <c r="AK3" s="46"/>
      <c r="AL3" s="46"/>
      <c r="AM3" s="30"/>
      <c r="AN3" s="29" t="s">
        <v>380</v>
      </c>
      <c r="AO3" s="46"/>
      <c r="AP3" s="46"/>
      <c r="AQ3" s="30"/>
      <c r="AR3" s="29" t="s">
        <v>378</v>
      </c>
      <c r="AS3" s="46"/>
      <c r="AT3" s="46"/>
      <c r="AU3" s="30"/>
      <c r="AV3" s="29" t="s">
        <v>379</v>
      </c>
      <c r="AW3" s="46"/>
      <c r="AX3" s="46"/>
      <c r="AY3" s="30"/>
      <c r="AZ3" s="29" t="s">
        <v>380</v>
      </c>
      <c r="BA3" s="46"/>
      <c r="BB3" s="46"/>
      <c r="BC3" s="30"/>
      <c r="BD3" s="29" t="s">
        <v>381</v>
      </c>
      <c r="BE3" s="46"/>
      <c r="BF3" s="46"/>
      <c r="BG3" s="30"/>
      <c r="BH3" s="29" t="s">
        <v>382</v>
      </c>
      <c r="BI3" s="46"/>
      <c r="BJ3" s="46"/>
      <c r="BK3" s="30"/>
      <c r="BL3" s="29" t="s">
        <v>383</v>
      </c>
      <c r="BM3" s="46"/>
      <c r="BN3" s="46"/>
      <c r="BO3" s="30"/>
      <c r="BU3" s="3" t="s">
        <v>384</v>
      </c>
      <c r="BV3" s="4" t="s">
        <v>385</v>
      </c>
      <c r="BW3" s="4" t="s">
        <v>386</v>
      </c>
      <c r="BX3" s="47"/>
      <c r="BY3" s="48"/>
      <c r="BZ3" s="48"/>
      <c r="CA3" s="49"/>
    </row>
    <row r="4" spans="1:79" x14ac:dyDescent="0.25">
      <c r="A4" s="53"/>
      <c r="B4" s="53"/>
      <c r="C4" s="53"/>
      <c r="D4" s="53"/>
      <c r="E4" s="53"/>
      <c r="F4" s="1"/>
      <c r="G4" s="3" t="s">
        <v>385</v>
      </c>
      <c r="H4" s="5">
        <f>IFERROR((COUNTIFS($B:$B,"* "&amp;$BV$3&amp;"*",$B:$B,"*"&amp;$BV$4&amp;"*",$B:$B,"*"&amp;$BV$5&amp;"*",$E:$E,"&gt;0")/K$4), 0)</f>
        <v>0.33333333333333331</v>
      </c>
      <c r="I4" s="5" t="str">
        <f>IFERROR("(" &amp; $H$4*$K$4 &amp; ")", 0)</f>
        <v>(3)</v>
      </c>
      <c r="J4" s="6" t="s">
        <v>387</v>
      </c>
      <c r="K4" s="7">
        <f>COUNTIFS($B:$B,"* "&amp;$BV$3&amp;"*", $B:$B,"*"&amp;$BV$4&amp;"*",$B:$B, "*"&amp;$BV$5&amp;"*")</f>
        <v>9</v>
      </c>
      <c r="L4" s="5">
        <f>IFERROR((COUNTIFS($B:$B,"* "&amp;$BV$3&amp;"*",$B:$B,"*"&amp;$BV$4&amp;"*",$B:$B,"*"&amp;$BW$5&amp;"*",$E:$E,"&gt;0")/O$4),0)</f>
        <v>0.25</v>
      </c>
      <c r="M4" s="5" t="str">
        <f>IFERROR("(" &amp; $L$4*$O$4 &amp; ")", 0)</f>
        <v>(1)</v>
      </c>
      <c r="N4" s="6" t="s">
        <v>387</v>
      </c>
      <c r="O4" s="7">
        <f>COUNTIFS($B:$B,"* "&amp;$BV$3&amp;"*", $B:$B,"*"&amp;$BV$4&amp;"*",$B:$B, "*"&amp;$BW$5&amp;"*")</f>
        <v>4</v>
      </c>
      <c r="P4" s="5">
        <f>IFERROR(COUNTIFS($B:$B,"* "&amp;$BV$3&amp;"*",$B:$B,"*"&amp;$BV$4&amp;"*",$B:$B,"*"&amp;$BX$5&amp;"*",$E:$E,"&gt;0")/S$4, 0)</f>
        <v>1</v>
      </c>
      <c r="Q4" s="5" t="str">
        <f>IFERROR("(" &amp; $P$4*$S$4 &amp; ")", 0)</f>
        <v>(2)</v>
      </c>
      <c r="R4" s="6" t="s">
        <v>387</v>
      </c>
      <c r="S4" s="7">
        <f>COUNTIFS($B:$B,"* "&amp;$BV$3&amp;"*", $B:$B,"*"&amp;$BV$4&amp;"*",$B:$B, "*"&amp;$BX$5&amp;"*")</f>
        <v>2</v>
      </c>
      <c r="T4" s="5">
        <f>IFERROR(COUNTIFS($B:$B,"* "&amp;$BV$3&amp;"*",$B:$B,"*"&amp;$BW$4&amp;"*",$B:$B,"*"&amp;$BV$5&amp;"*",$E:$E,"&gt;0")/W$4, 0)</f>
        <v>0</v>
      </c>
      <c r="U4" s="5" t="str">
        <f>IFERROR("(" &amp; $T$4*$W$4 &amp; ")", 0)</f>
        <v>(0)</v>
      </c>
      <c r="V4" s="6" t="s">
        <v>387</v>
      </c>
      <c r="W4" s="7">
        <f>COUNTIFS($B:$B,"* "&amp;$BV$3&amp;"*", $B:$B,"*"&amp;$BW$4&amp;"*",$B:$B, "*"&amp;$BV$5&amp;"*")</f>
        <v>8</v>
      </c>
      <c r="X4" s="5">
        <f>IFERROR(COUNTIFS($B:$B,"* "&amp;$BV$3&amp;"*",$B:$B,"*"&amp;$BW$4&amp;"*",$B:$B,"*"&amp;$BW$5&amp;"*",$E:$E,"&gt;0")/AA$4, 0)</f>
        <v>0.22222222222222221</v>
      </c>
      <c r="Y4" s="5" t="str">
        <f>IFERROR("(" &amp; $X$4*$AA$4 &amp; ")", 0)</f>
        <v>(2)</v>
      </c>
      <c r="Z4" s="6" t="s">
        <v>387</v>
      </c>
      <c r="AA4" s="7">
        <f>COUNTIFS($B:$B,"* "&amp;$BV$3&amp;"*", $B:$B,"*"&amp;$BW$4&amp;"*",$B:$B, "*"&amp;$BW$5&amp;"*")</f>
        <v>9</v>
      </c>
      <c r="AB4" s="5">
        <f>IFERROR(COUNTIFS($B:$B,"* "&amp;$BV$3&amp;"*",$B:$B,"*"&amp;$BW$4&amp;"*",$B:$B,"*"&amp;$BX$5&amp;"*",$E:$E,"&gt;0")/AE$4, 0)</f>
        <v>0.1111111111111111</v>
      </c>
      <c r="AC4" s="5" t="str">
        <f>IFERROR("(" &amp; $AB$4*$AE$4 &amp; ")", 0)</f>
        <v>(1)</v>
      </c>
      <c r="AD4" s="6" t="s">
        <v>387</v>
      </c>
      <c r="AE4" s="7">
        <f>COUNTIFS($B:$B,"* "&amp;$BV$3&amp;"*", $B:$B,"*"&amp;$BW$4&amp;"*",$B:$B, "*"&amp;$BX$5&amp;"*")</f>
        <v>9</v>
      </c>
      <c r="AF4" s="5">
        <f>IFERROR(COUNTIFS($B:$B,"* "&amp;$BV$3&amp;"*",$B:$B,"*"&amp;$BX$4&amp;"*",$B:$B,"*"&amp;$BV$5&amp;"*",$E:$E,"&gt;0")/AI$4, 0)</f>
        <v>0.2</v>
      </c>
      <c r="AG4" s="5" t="str">
        <f>IFERROR("(" &amp; $AF$4*$AI$4 &amp; ")", 0)</f>
        <v>(2)</v>
      </c>
      <c r="AH4" s="6" t="s">
        <v>387</v>
      </c>
      <c r="AI4" s="7">
        <f>COUNTIFS($B:$B,"* "&amp;$BV$3&amp;"*", $B:$B,"*"&amp;$BX$4&amp;"*",$B:$B, "*"&amp;$BV$5&amp;"*")</f>
        <v>10</v>
      </c>
      <c r="AJ4" s="5">
        <f>IFERROR(COUNTIFS($B:$B,"* "&amp;$BV$3&amp;"*",$B:$B,"*"&amp;$BX$4&amp;"*",$B:$B,"*"&amp;$BW$5&amp;"*",$E:$E,"&gt;0")/AM$4, 0)</f>
        <v>0.8571428571428571</v>
      </c>
      <c r="AK4" s="5" t="str">
        <f>IFERROR("(" &amp; $AJ$4*$AM$4 &amp; ")", 0)</f>
        <v>(6)</v>
      </c>
      <c r="AL4" s="6" t="s">
        <v>387</v>
      </c>
      <c r="AM4" s="7">
        <f>COUNTIFS($B:$B,"* "&amp;$BV$3&amp;"*", $B:$B,"*"&amp;$BX$4&amp;"*",$B:$B, "*"&amp;$BW$5&amp;"*")</f>
        <v>7</v>
      </c>
      <c r="AN4" s="5">
        <f>IFERROR(COUNTIFS($B:$B,"* "&amp;$BV$3&amp;"*",$B:$B,"*"&amp;$BX$4&amp;"*",$B:$B,"*"&amp;$BX$5&amp;"*",$E:$E,"&gt;0")/AQ$4, 0)</f>
        <v>0.16666666666666666</v>
      </c>
      <c r="AO4" s="5" t="str">
        <f>IFERROR("(" &amp; $AN$4*$AQ$4 &amp; ")", 0)</f>
        <v>(1)</v>
      </c>
      <c r="AP4" s="6" t="s">
        <v>387</v>
      </c>
      <c r="AQ4" s="7">
        <f>COUNTIFS($B:$B,"* "&amp;$BV$3&amp;"*", $B:$B,"*"&amp;$BX$4&amp;"*",$B:$B, "*"&amp;$BX$5&amp;"*")</f>
        <v>6</v>
      </c>
      <c r="AR4" s="5">
        <f>IFERROR(COUNTIFS($B:$B,"* "&amp;$BV$3&amp;"*",$B:$B,"*"&amp;$BY$4&amp;"*",$B:$B,"*"&amp;$BV$5&amp;"*",$E:$E,"&gt;0")/AU$4, 0)</f>
        <v>7.6923076923076927E-2</v>
      </c>
      <c r="AS4" s="5" t="str">
        <f>IFERROR("(" &amp; $AR$4*$AU$4 &amp; ")", 0)</f>
        <v>(1)</v>
      </c>
      <c r="AT4" s="6" t="s">
        <v>387</v>
      </c>
      <c r="AU4" s="7">
        <f>COUNTIFS($B:$B,"* "&amp;$BV$3&amp;"*", $B:$B,"*"&amp;$BY$4&amp;"*",$B:$B, "*"&amp;$BV$5&amp;"*")</f>
        <v>13</v>
      </c>
      <c r="AV4" s="5">
        <f>IFERROR(COUNTIFS($B:$B,"* "&amp;$BV$3&amp;"*",$B:$B,"*"&amp;$BY$4&amp;"*",$B:$B,"*"&amp;$BW$5&amp;"*",$E:$E,"&gt;0")/AY$4, 0)</f>
        <v>0.5</v>
      </c>
      <c r="AW4" s="5" t="str">
        <f>IFERROR("(" &amp; $AV$4*$AY$4 &amp; ")", 0)</f>
        <v>(4)</v>
      </c>
      <c r="AX4" s="6" t="s">
        <v>387</v>
      </c>
      <c r="AY4" s="7">
        <f>COUNTIFS($B:$B,"* "&amp;$BV$3&amp;"*", $B:$B,"*"&amp;$BY$4&amp;"*",$B:$B, "*"&amp;$BW$5&amp;"*")</f>
        <v>8</v>
      </c>
      <c r="AZ4" s="5">
        <f>IFERROR(COUNTIFS($B:$B,"* "&amp;$BV$3&amp;"*",$B:$B,"*"&amp;$BY$4&amp;"*",$B:$B,"*"&amp;$BX$5&amp;"*",$E:$E,"&gt;0")/BC$4, 0)</f>
        <v>0.125</v>
      </c>
      <c r="BA4" s="5" t="str">
        <f>IFERROR("(" &amp; $AZ$4*$BC$4 &amp; ")", 0)</f>
        <v>(1)</v>
      </c>
      <c r="BB4" s="6" t="s">
        <v>387</v>
      </c>
      <c r="BC4" s="7">
        <f>COUNTIFS($B:$B,"* "&amp;$BV$3&amp;"*", $B:$B,"*"&amp;$BY$4&amp;"*",$B:$B, "*"&amp;$BX$5&amp;"*")</f>
        <v>8</v>
      </c>
      <c r="BD4" s="5">
        <f>IFERROR(COUNTIFS($B:$B,"* "&amp;$BV$3&amp;"*",$B:$B,"*"&amp;$BY$4&amp;"*",$B:$B,"*"&amp;$BY$5&amp;"*",$E:$E,"&gt;0")/BG$4, 0)</f>
        <v>0.25</v>
      </c>
      <c r="BE4" s="5" t="str">
        <f>IFERROR("(" &amp; $BD$4*$BG$4 &amp; ")", 0)</f>
        <v>(3)</v>
      </c>
      <c r="BF4" s="6" t="s">
        <v>387</v>
      </c>
      <c r="BG4" s="7">
        <f>COUNTIFS($B:$B,"* "&amp;$BV$3&amp;"*", $B:$B,"*"&amp;$BY$4&amp;"*",$B:$B, "*"&amp;$BY$5&amp;"*")</f>
        <v>12</v>
      </c>
      <c r="BH4" s="5">
        <f>IFERROR(COUNTIFS($B:$B,"* "&amp;$BV$3&amp;"*",$B:$B,"*"&amp;$BY$4&amp;"*",$B:$B,"*"&amp;$BZ$5&amp;"*",$E:$E,"&gt;0")/BK$4, 0)</f>
        <v>0</v>
      </c>
      <c r="BI4" s="5" t="str">
        <f>IFERROR("(" &amp; $BH$4*$BK$4 &amp; ")", 0)</f>
        <v>(0)</v>
      </c>
      <c r="BJ4" s="6" t="s">
        <v>387</v>
      </c>
      <c r="BK4" s="7">
        <f>COUNTIFS($B:$B,"* "&amp;$BV$3&amp;"*", $B:$B,"*"&amp;$BY$4&amp;"*",$B:$B, "*"&amp;$BZ$5&amp;"*")</f>
        <v>6</v>
      </c>
      <c r="BL4" s="5">
        <f>IFERROR(COUNTIFS($B:$B,"* "&amp;$BV$3&amp;"*",$B:$B,"*"&amp;$BY$4&amp;"*",$B:$B,"*"&amp;$CA$5&amp;"*",$E:$E,"&gt;0")/BO$4, 0)</f>
        <v>0</v>
      </c>
      <c r="BM4" s="5" t="str">
        <f>IFERROR("(" &amp; $BL$4*$BO$4 &amp; ")", 0)</f>
        <v>(0)</v>
      </c>
      <c r="BN4" s="6" t="s">
        <v>387</v>
      </c>
      <c r="BO4" s="7">
        <f>COUNTIFS($B:$B,"* "&amp;$BV$3&amp;"*", $B:$B,"*"&amp;$BY$4&amp;"*",$B:$B, "*"&amp;$CA$5&amp;"*")</f>
        <v>3</v>
      </c>
      <c r="BU4" s="3" t="s">
        <v>371</v>
      </c>
      <c r="BV4" s="4" t="s">
        <v>372</v>
      </c>
      <c r="BW4" s="4" t="s">
        <v>373</v>
      </c>
      <c r="BX4" s="4" t="s">
        <v>374</v>
      </c>
      <c r="BY4" s="4" t="s">
        <v>375</v>
      </c>
      <c r="BZ4" s="47"/>
      <c r="CA4" s="49"/>
    </row>
    <row r="5" spans="1:79" x14ac:dyDescent="0.25">
      <c r="A5" s="53"/>
      <c r="B5" s="53"/>
      <c r="C5" s="53"/>
      <c r="D5" s="53"/>
      <c r="E5" s="53"/>
      <c r="F5" s="1"/>
      <c r="G5" s="3" t="s">
        <v>386</v>
      </c>
      <c r="H5" s="5">
        <f>IFERROR((COUNTIFS($B:$B,"* "&amp;$BW$3&amp;"*",$B:$B,"*"&amp;$BV$4&amp;"*",$B:$B,"*"&amp;$BV$5&amp;"*",$E:$E,"&gt;0")/K$5),0)</f>
        <v>0.22222222222222221</v>
      </c>
      <c r="I5" s="5" t="str">
        <f>IFERROR("(" &amp; $H$5*$K$5 &amp; ")", 0)</f>
        <v>(2)</v>
      </c>
      <c r="J5" s="6" t="s">
        <v>387</v>
      </c>
      <c r="K5" s="7">
        <f>COUNTIFS($B:$B,"* "&amp;$BW$3&amp;"*", $B:$B,"*"&amp;$BV$4&amp;"*",$B:$B, "*"&amp;$BV$5&amp;"*")</f>
        <v>9</v>
      </c>
      <c r="L5" s="5">
        <f>IFERROR((COUNTIFS($B:$B,"* "&amp;$BW$3&amp;"*",$B:$B,"*"&amp;$BV$4&amp;"*",$B:$B,"*"&amp;$BW$5&amp;"*",$E:$E,"&gt;0")/O$5),0)</f>
        <v>0.66666666666666663</v>
      </c>
      <c r="M5" s="5" t="str">
        <f>IFERROR("(" &amp; $L$5*$O$5 &amp; ")", 0)</f>
        <v>(4)</v>
      </c>
      <c r="N5" s="6" t="s">
        <v>387</v>
      </c>
      <c r="O5" s="7">
        <f>COUNTIFS($B:$B,"* "&amp;$BW$3&amp;"*", $B:$B,"*"&amp;$BV$4&amp;"*",$B:$B, "*"&amp;$BW$5&amp;"*")</f>
        <v>6</v>
      </c>
      <c r="P5" s="5">
        <f>IFERROR(COUNTIFS($B:$B,"* "&amp;$BW$3&amp;"*",$B:$B,"*"&amp;$BV$4&amp;"*",$B:$B, "*"&amp;$BX$5&amp;"*", $E:$E, "&gt;0")/S$5, 0)</f>
        <v>0.5</v>
      </c>
      <c r="Q5" s="5" t="str">
        <f>IFERROR("(" &amp; $P$5*$S$5 &amp; ")", 0)</f>
        <v>(2)</v>
      </c>
      <c r="R5" s="6" t="s">
        <v>387</v>
      </c>
      <c r="S5" s="7">
        <f>COUNTIFS($B:$B,"* "&amp;$BW$3&amp;"*", $B:$B,"*"&amp;$BV$4&amp;"*",$B:$B, "*"&amp;$BX$5&amp;"*")</f>
        <v>4</v>
      </c>
      <c r="T5" s="5">
        <f>IFERROR(COUNTIFS($B:$B,"* "&amp;$BW$3&amp;"*",$B:$B,"*"&amp;$BW$4&amp;"*",$B:$B, "*"&amp;$BV$5&amp;"*", $E:$E, "&gt;0")/W$5, 0)</f>
        <v>0.33333333333333331</v>
      </c>
      <c r="U5" s="5" t="str">
        <f>IFERROR("(" &amp; $T$5*$W$5 &amp; ")", 0)</f>
        <v>(2)</v>
      </c>
      <c r="V5" s="6" t="s">
        <v>387</v>
      </c>
      <c r="W5" s="7">
        <f>COUNTIFS($B:$B,"* "&amp;$BW$3&amp;"*", $B:$B,"*"&amp;$BW$4&amp;"*",$B:$B, "*"&amp;$BV$5&amp;"*")</f>
        <v>6</v>
      </c>
      <c r="X5" s="5">
        <f>IFERROR(COUNTIFS($B:$B,"* "&amp;$BW$3&amp;"*",$B:$B,"*"&amp;$BW$4&amp;"*",$B:$B, "*"&amp;$BW$5&amp;"*", $E:$E, "&gt;0")/AA$5, 0)</f>
        <v>0.42857142857142855</v>
      </c>
      <c r="Y5" s="5" t="str">
        <f>IFERROR("(" &amp; $X$5*$AA$5 &amp; ")", 0)</f>
        <v>(3)</v>
      </c>
      <c r="Z5" s="6" t="s">
        <v>387</v>
      </c>
      <c r="AA5" s="7">
        <f>COUNTIFS($B:$B,"* "&amp;$BW$3&amp;"*", $B:$B,"*"&amp;$BW$4&amp;"*",$B:$B, "*"&amp;$BW$5&amp;"*")</f>
        <v>7</v>
      </c>
      <c r="AB5" s="5">
        <f>IFERROR(COUNTIFS($B:$B,"* "&amp;$BW$3&amp;"*",$B:$B,"*"&amp;$BW$4&amp;"*",$B:$B, "*"&amp;$BX$5&amp;"*", $E:$E, "&gt;0")/AE$5, 0)</f>
        <v>0.75</v>
      </c>
      <c r="AC5" s="5" t="str">
        <f>IFERROR("(" &amp; $AB$5*$AE$5 &amp; ")", 0)</f>
        <v>(6)</v>
      </c>
      <c r="AD5" s="6" t="s">
        <v>387</v>
      </c>
      <c r="AE5" s="7">
        <f>COUNTIFS($B:$B,"* "&amp;$BW$3&amp;"*", $B:$B,"*"&amp;$BW$4&amp;"*",$B:$B, "*"&amp;$BX$5&amp;"*")</f>
        <v>8</v>
      </c>
      <c r="AF5" s="5">
        <f>IFERROR(COUNTIFS($B:$B,"* "&amp;$BW$3&amp;"*",$B:$B,"*"&amp;$BX$4&amp;"*",$B:$B, "*"&amp;$BV$5&amp;"*", $E:$E, "&gt;0")/AI$5, 0)</f>
        <v>0</v>
      </c>
      <c r="AG5" s="5" t="str">
        <f>IFERROR("(" &amp; $AF$5*$AI$5 &amp; ")", 0)</f>
        <v>(0)</v>
      </c>
      <c r="AH5" s="6" t="s">
        <v>387</v>
      </c>
      <c r="AI5" s="7">
        <f>COUNTIFS($B:$B,"* "&amp;$BW$3&amp;"*", $B:$B,"*"&amp;$BX$4&amp;"*",$B:$B, "*"&amp;$BV$5&amp;"*")</f>
        <v>8</v>
      </c>
      <c r="AJ5" s="5">
        <f>IFERROR(COUNTIFS($B:$B,"* "&amp;$BW$3&amp;"*",$B:$B,"*"&amp;$BX$4&amp;"*",$B:$B, "*"&amp;$BW$5&amp;"*", $E:$E, "&gt;0")/AM$5, 0)</f>
        <v>0</v>
      </c>
      <c r="AK5" s="5" t="str">
        <f>IFERROR("(" &amp; $AJ$5*$AM$5 &amp; ")", 0)</f>
        <v>(0)</v>
      </c>
      <c r="AL5" s="6" t="s">
        <v>387</v>
      </c>
      <c r="AM5" s="7">
        <f>COUNTIFS($B:$B,"* "&amp;$BW$3&amp;"*", $B:$B,"*"&amp;$BX$4&amp;"*",$B:$B, "*"&amp;$BW$5&amp;"*")</f>
        <v>5</v>
      </c>
      <c r="AN5" s="5">
        <f>IFERROR(COUNTIFS($B:$B,"* "&amp;$BW$3&amp;"*",$B:$B,"*"&amp;$BX$4&amp;"*",$B:$B, "*"&amp;$BX$5&amp;"*", $E:$E, "&gt;0")/AQ$5, 0)</f>
        <v>0</v>
      </c>
      <c r="AO5" s="5" t="str">
        <f>IFERROR("(" &amp; $AN$5*$AQ$5 &amp; ")", 0)</f>
        <v>(0)</v>
      </c>
      <c r="AP5" s="6" t="s">
        <v>387</v>
      </c>
      <c r="AQ5" s="7">
        <f>COUNTIFS($B:$B,"* "&amp;$BW$3&amp;"*", $B:$B,"*"&amp;$BX$4&amp;"*",$B:$B, "*"&amp;$BX$5&amp;"*")</f>
        <v>2</v>
      </c>
      <c r="AR5" s="5">
        <f>IFERROR(COUNTIFS($B:$B,"* "&amp;$BW$3&amp;"*",$B:$B,"*"&amp;$BY$4&amp;"*",$B:$B, "*"&amp;$BV$5&amp;"*", $E:$E, "&gt;0")/AU$5, 0)</f>
        <v>0.5</v>
      </c>
      <c r="AS5" s="5" t="str">
        <f>IFERROR("(" &amp; $AR$5*$AU$5 &amp; ")", 0)</f>
        <v>(4)</v>
      </c>
      <c r="AT5" s="6" t="s">
        <v>387</v>
      </c>
      <c r="AU5" s="7">
        <f>COUNTIFS($B:$B,"* "&amp;$BW$3&amp;"*", $B:$B,"*"&amp;$BY$4&amp;"*",$B:$B, "*"&amp;$BV$5&amp;"*")</f>
        <v>8</v>
      </c>
      <c r="AV5" s="5">
        <f>IFERROR(COUNTIFS($B:$B,"* "&amp;$BW$3&amp;"*",$B:$B,"*"&amp;$BY$4&amp;"*",$B:$B, "*"&amp;$BW$5&amp;"*", $E:$E, "&gt;0")/AY$5, 0)</f>
        <v>1</v>
      </c>
      <c r="AW5" s="5" t="str">
        <f>IFERROR("(" &amp; $AV$5*$AY$5 &amp; ")", 0)</f>
        <v>(4)</v>
      </c>
      <c r="AX5" s="6" t="s">
        <v>387</v>
      </c>
      <c r="AY5" s="7">
        <f>COUNTIFS($B:$B,"* "&amp;$BW$3&amp;"*", $B:$B,"*"&amp;$BY$4&amp;"*",$B:$B, "*"&amp;$BW$5&amp;"*")</f>
        <v>4</v>
      </c>
      <c r="AZ5" s="5">
        <f>IFERROR(COUNTIFS($B:$B,"* "&amp;$BW$3&amp;"*",$B:$B,"*"&amp;$BY$4&amp;"*",$B:$B, "*"&amp;$BX$5&amp;"*", $E:$E, "&gt;0")/BC$5, 0)</f>
        <v>0.5</v>
      </c>
      <c r="BA5" s="5" t="str">
        <f>IFERROR("(" &amp; $AZ$5*$BC$5 &amp; ")", 0)</f>
        <v>(3)</v>
      </c>
      <c r="BB5" s="6" t="s">
        <v>387</v>
      </c>
      <c r="BC5" s="7">
        <f>COUNTIFS($B:$B,"* "&amp;$BW$3&amp;"*", $B:$B,"*"&amp;$BY$4&amp;"*",$B:$B, "*"&amp;$BX$5&amp;"*")</f>
        <v>6</v>
      </c>
      <c r="BD5" s="5">
        <f>IFERROR(COUNTIFS($B:$B,"* "&amp;$BW$3&amp;"*",$B:$B,"*"&amp;$BY$4&amp;"*",$B:$B, "*"&amp;$BY$5&amp;"*", $E:$E, "&gt;0")/BG$5, 0)</f>
        <v>0</v>
      </c>
      <c r="BE5" s="5" t="str">
        <f>IFERROR("(" &amp; $BD$5*$BG$5 &amp; ")", 0)</f>
        <v>(0)</v>
      </c>
      <c r="BF5" s="6" t="s">
        <v>387</v>
      </c>
      <c r="BG5" s="7">
        <f>COUNTIFS($B:$B,"* "&amp;$BW$3&amp;"*", $B:$B,"*"&amp;$BY$4&amp;"*",$B:$B, "*"&amp;$BY$5&amp;"*")</f>
        <v>2</v>
      </c>
      <c r="BH5" s="5">
        <f>IFERROR(COUNTIFS($B:$B,"* "&amp;$BW$3&amp;"*",$B:$B,"*"&amp;$BY$4&amp;"*",$B:$B, "*"&amp;$BZ$5&amp;"*", $E:$E, "&gt;0")/BK$5, 0)</f>
        <v>0</v>
      </c>
      <c r="BI5" s="5" t="str">
        <f>IFERROR("(" &amp; $BH$5*$BK$5 &amp; ")", 0)</f>
        <v>(0)</v>
      </c>
      <c r="BJ5" s="6" t="s">
        <v>387</v>
      </c>
      <c r="BK5" s="7">
        <f>COUNTIFS($B:$B,"* "&amp;$BW$3&amp;"*", $B:$B,"*"&amp;$BY$4&amp;"*",$B:$B, "*"&amp;$BZ$5&amp;"*")</f>
        <v>1</v>
      </c>
      <c r="BL5" s="5">
        <f>IFERROR(COUNTIFS($B:$B,"* "&amp;$BW$3&amp;"*",$B:$B,"*"&amp;$BY$4&amp;"*",$B:$B, "*"&amp;$CA$5&amp;"*", $E:$E, "&gt;0")/BO$5, 0)</f>
        <v>0.5</v>
      </c>
      <c r="BM5" s="5" t="str">
        <f>IFERROR("(" &amp; $BL$5*$BO$5 &amp; ")", 0)</f>
        <v>(1)</v>
      </c>
      <c r="BN5" s="6" t="s">
        <v>387</v>
      </c>
      <c r="BO5" s="7">
        <f>COUNTIFS($B:$B,"* "&amp;$BW$3&amp;"*", $B:$B,"*"&amp;$BY$4&amp;"*",$B:$B, "*"&amp;$CA$5&amp;"*")</f>
        <v>2</v>
      </c>
      <c r="BU5" s="3" t="s">
        <v>377</v>
      </c>
      <c r="BV5" s="4">
        <v>50</v>
      </c>
      <c r="BW5" s="4">
        <v>100</v>
      </c>
      <c r="BX5" s="4">
        <v>200</v>
      </c>
      <c r="BY5" s="4">
        <v>400</v>
      </c>
      <c r="BZ5" s="4">
        <v>800</v>
      </c>
      <c r="CA5" s="4">
        <v>1500</v>
      </c>
    </row>
    <row r="6" spans="1:79" x14ac:dyDescent="0.25">
      <c r="A6" s="53"/>
      <c r="B6" s="53"/>
      <c r="C6" s="53"/>
      <c r="D6" s="53"/>
      <c r="E6" s="53"/>
      <c r="F6" s="1"/>
      <c r="G6" s="8" t="s">
        <v>388</v>
      </c>
      <c r="H6" s="9">
        <f>IFERROR((COUNTIFS($B:$B,"*"&amp;$BV$4&amp;"*",$B:$B,"*"&amp;$BV$5&amp;"*",$E:$E,"&gt;0")/K$6),0)</f>
        <v>0.27777777777777779</v>
      </c>
      <c r="I6" s="9" t="str">
        <f>IFERROR("(" &amp; $H$6*$K$6 &amp; ")", 0)</f>
        <v>(5)</v>
      </c>
      <c r="J6" s="10" t="s">
        <v>387</v>
      </c>
      <c r="K6" s="11">
        <f>COUNTIFS($B:$B,"*"&amp;$BV$4&amp;"*", $B:$B, "*"&amp;$BV$5&amp;"*")</f>
        <v>18</v>
      </c>
      <c r="L6" s="9">
        <f>IFERROR((COUNTIFS($B:$B,"*"&amp;$BV$4&amp;"*",$B:$B, "*"&amp;$BW$5&amp;"*", $E:$E, "&gt;0")/O$6),0)</f>
        <v>0.5</v>
      </c>
      <c r="M6" s="9" t="str">
        <f>IFERROR("(" &amp; $L$6*$O$6 &amp; ")", 0)</f>
        <v>(5)</v>
      </c>
      <c r="N6" s="10" t="s">
        <v>387</v>
      </c>
      <c r="O6" s="11">
        <f>COUNTIFS($B:$B,"*"&amp;$BV$4&amp;"*", $B:$B, "*"&amp;$BW$5&amp;"*")</f>
        <v>10</v>
      </c>
      <c r="P6" s="9">
        <f>IFERROR(COUNTIFS($B:$B,"*"&amp;$BV$4&amp;"*",$B:$B, "*"&amp;$BX$5&amp;"*", $E:$E, "&gt;0")/S$6, 0)</f>
        <v>0.66666666666666663</v>
      </c>
      <c r="Q6" s="9" t="str">
        <f>IFERROR("(" &amp; $P$6*$S$6 &amp; ")", 0)</f>
        <v>(4)</v>
      </c>
      <c r="R6" s="10" t="s">
        <v>387</v>
      </c>
      <c r="S6" s="11">
        <f>COUNTIFS($B:$B,"*"&amp;$BV$4&amp;"*", $B:$B, "*"&amp;$BX$5&amp;"*")</f>
        <v>6</v>
      </c>
      <c r="T6" s="9">
        <f>IFERROR(COUNTIFS($B:$B,"*"&amp;$BW$4&amp;"*",$B:$B, "*"&amp;$BV$5&amp;"*", $E:$E, "&gt;0")/W$6, 0)</f>
        <v>0.14285714285714285</v>
      </c>
      <c r="U6" s="9" t="str">
        <f>IFERROR("(" &amp; $T$6*$W$6 &amp; ")", 0)</f>
        <v>(2)</v>
      </c>
      <c r="V6" s="10" t="s">
        <v>387</v>
      </c>
      <c r="W6" s="11">
        <f>COUNTIFS($B:$B,"*"&amp;$BW$4&amp;"*", $B:$B, "*"&amp;$BV$5&amp;"*")</f>
        <v>14</v>
      </c>
      <c r="X6" s="9">
        <f>IFERROR(COUNTIFS($B:$B,"*"&amp;$BW$4&amp;"*",$B:$B, "*"&amp;$BW$5&amp;"*", $E:$E, "&gt;0")/AA$6, 0)</f>
        <v>0.3125</v>
      </c>
      <c r="Y6" s="9" t="str">
        <f>IFERROR("(" &amp; $X$6*$AA$6 &amp; ")", 0)</f>
        <v>(5)</v>
      </c>
      <c r="Z6" s="10" t="s">
        <v>387</v>
      </c>
      <c r="AA6" s="11">
        <f>COUNTIFS($B:$B,"*"&amp;$BW$4&amp;"*", $B:$B, "*"&amp;$BW$5&amp;"*")</f>
        <v>16</v>
      </c>
      <c r="AB6" s="9">
        <f>IFERROR(COUNTIFS($B:$B,"*"&amp;$BW$4&amp;"*",$B:$B, "*"&amp;$BX$5&amp;"*", $E:$E, "&gt;0")/AE$6, 0)</f>
        <v>0.41176470588235292</v>
      </c>
      <c r="AC6" s="9" t="str">
        <f>IFERROR("(" &amp; $AB$6*$AE$6 &amp; ")", 0)</f>
        <v>(7)</v>
      </c>
      <c r="AD6" s="10" t="s">
        <v>387</v>
      </c>
      <c r="AE6" s="11">
        <f>COUNTIFS($B:$B,"*"&amp;$BW$4&amp;"*", $B:$B, "*"&amp;$BX$5&amp;"*")</f>
        <v>17</v>
      </c>
      <c r="AF6" s="9">
        <f>IFERROR(COUNTIFS($B:$B,"*"&amp;$BX$4&amp;"*",$B:$B, "*"&amp;$BV$5&amp;"*", $E:$E, "&gt;0")/AI$6, 0)</f>
        <v>0.1111111111111111</v>
      </c>
      <c r="AG6" s="9" t="str">
        <f>IFERROR("(" &amp; $AF$6*$AI$6 &amp; ")", 0)</f>
        <v>(2)</v>
      </c>
      <c r="AH6" s="10" t="s">
        <v>387</v>
      </c>
      <c r="AI6" s="11">
        <f>COUNTIFS($B:$B,"*"&amp;$BX$4&amp;"*", $B:$B, "*"&amp;$BV$5&amp;"*")</f>
        <v>18</v>
      </c>
      <c r="AJ6" s="9">
        <f>IFERROR(COUNTIFS($B:$B,"*"&amp;$BX$4&amp;"*",$B:$B, "*"&amp;$BW$5&amp;"*", $E:$E, "&gt;0")/AM$6, 0)</f>
        <v>0.5</v>
      </c>
      <c r="AK6" s="9" t="str">
        <f>IFERROR("(" &amp; $AJ$6*$AM$6 &amp; ")", 0)</f>
        <v>(6)</v>
      </c>
      <c r="AL6" s="10" t="s">
        <v>387</v>
      </c>
      <c r="AM6" s="11">
        <f>COUNTIFS($B:$B,"*"&amp;$BX$4&amp;"*", $B:$B, "*"&amp;$BW$5&amp;"*")</f>
        <v>12</v>
      </c>
      <c r="AN6" s="9">
        <f>IFERROR(COUNTIFS($B:$B,"*"&amp;$BX$4&amp;"*",$B:$B, "*"&amp;$BX$5&amp;"*", $E:$E, "&gt;0")/AQ$6, 0)</f>
        <v>0.125</v>
      </c>
      <c r="AO6" s="9" t="str">
        <f>IFERROR("(" &amp; $AN$6*$AQ$6 &amp; ")", 0)</f>
        <v>(1)</v>
      </c>
      <c r="AP6" s="10" t="s">
        <v>387</v>
      </c>
      <c r="AQ6" s="11">
        <f>COUNTIFS($B:$B,"*"&amp;$BX$4&amp;"*", $B:$B, "*"&amp;$BX$5&amp;"*")</f>
        <v>8</v>
      </c>
      <c r="AR6" s="9">
        <f>IFERROR(COUNTIFS($B:$B,"*"&amp;$BY$4&amp;"*",$B:$B, "*"&amp;$BV$5&amp;"*", $E:$E, "&gt;0")/AU$6, 0)</f>
        <v>0.23809523809523808</v>
      </c>
      <c r="AS6" s="9" t="str">
        <f>IFERROR("(" &amp; $AR$6*$AU$6 &amp; ")", 0)</f>
        <v>(5)</v>
      </c>
      <c r="AT6" s="10" t="s">
        <v>387</v>
      </c>
      <c r="AU6" s="11">
        <f>COUNTIFS($B:$B,"*"&amp;$BY$4&amp;"*", $B:$B, "*"&amp;$BV$5&amp;"*")</f>
        <v>21</v>
      </c>
      <c r="AV6" s="9">
        <f>IFERROR(COUNTIFS($B:$B,"*"&amp;$BY$4&amp;"*",$B:$B, "*"&amp;$BW$5&amp;"*", $E:$E, "&gt;0")/AY$6, 0)</f>
        <v>0.66666666666666663</v>
      </c>
      <c r="AW6" s="9" t="str">
        <f>IFERROR("(" &amp; $AV$6*$AY$6 &amp; ")", 0)</f>
        <v>(8)</v>
      </c>
      <c r="AX6" s="10" t="s">
        <v>387</v>
      </c>
      <c r="AY6" s="11">
        <f>COUNTIFS($B:$B,"*"&amp;$BY$4&amp;"*", $B:$B, "*"&amp;$BW$5&amp;"*")</f>
        <v>12</v>
      </c>
      <c r="AZ6" s="9">
        <f>IFERROR(COUNTIFS($B:$B,"*"&amp;$BY$4&amp;"*",$B:$B, "*"&amp;$BX$5&amp;"*", $E:$E, "&gt;0")/BC$6, 0)</f>
        <v>0.2857142857142857</v>
      </c>
      <c r="BA6" s="9" t="str">
        <f>IFERROR("(" &amp; $AZ$6*$BC$6 &amp; ")", 0)</f>
        <v>(4)</v>
      </c>
      <c r="BB6" s="10" t="s">
        <v>387</v>
      </c>
      <c r="BC6" s="11">
        <f>COUNTIFS($B:$B,"*"&amp;$BY$4&amp;"*", $B:$B, "*"&amp;$BX$5&amp;"*")</f>
        <v>14</v>
      </c>
      <c r="BD6" s="9">
        <f>IFERROR(COUNTIFS($B:$B,"*"&amp;$BY$4&amp;"*",$B:$B, "*"&amp;$BY$5&amp;"*", $E:$E, "&gt;0")/BG$6, 0)</f>
        <v>0.21428571428571427</v>
      </c>
      <c r="BE6" s="9" t="str">
        <f>IFERROR("(" &amp; $BD$6*$BG$6 &amp; ")", 0)</f>
        <v>(3)</v>
      </c>
      <c r="BF6" s="10" t="s">
        <v>387</v>
      </c>
      <c r="BG6" s="11">
        <f>COUNTIFS($B:$B,"*"&amp;$BY$4&amp;"*", $B:$B, "*"&amp;$BY$5&amp;"*")</f>
        <v>14</v>
      </c>
      <c r="BH6" s="9">
        <f>IFERROR(COUNTIFS($B:$B,"*"&amp;$BY$4&amp;"*",$B:$B, "*"&amp;$BZ$5&amp;"*", $E:$E, "&gt;0")/BK$6, 0)</f>
        <v>0</v>
      </c>
      <c r="BI6" s="9" t="str">
        <f>IFERROR("(" &amp; $BH$6*$BK$6 &amp; ")", 0)</f>
        <v>(0)</v>
      </c>
      <c r="BJ6" s="10" t="s">
        <v>387</v>
      </c>
      <c r="BK6" s="11">
        <f>COUNTIFS($B:$B,"*"&amp;$BY$4&amp;"*", $B:$B, "*"&amp;$BZ$5&amp;"*")</f>
        <v>7</v>
      </c>
      <c r="BL6" s="9">
        <f>IFERROR(COUNTIFS($B:$B,"*"&amp;$BY$4&amp;"*",$B:$B, "*"&amp;$CA$5&amp;"*", $E:$E, "&gt;0")/BO$6, 0)</f>
        <v>0.2</v>
      </c>
      <c r="BM6" s="9" t="str">
        <f>IFERROR("(" &amp; $BL$6*$BO$6 &amp; ")", 0)</f>
        <v>(1)</v>
      </c>
      <c r="BN6" s="10" t="s">
        <v>387</v>
      </c>
      <c r="BO6" s="11">
        <f>COUNTIFS($B:$B,"*"&amp;$BY$4&amp;"*", $B:$B, "*"&amp;$CA$5&amp;"*")</f>
        <v>5</v>
      </c>
    </row>
    <row r="7" spans="1:79" x14ac:dyDescent="0.25">
      <c r="A7" s="53"/>
      <c r="B7" s="53"/>
      <c r="C7" s="53"/>
      <c r="D7" s="53"/>
      <c r="E7" s="53"/>
      <c r="F7" s="1"/>
      <c r="G7" s="12" t="s">
        <v>389</v>
      </c>
      <c r="H7" s="31">
        <f>IFERROR(COUNTIFS($B:$B,"*"&amp;$BV$4&amp;"*", $E:$E, "&gt;0")/P$7, 0)</f>
        <v>0.41176470588235292</v>
      </c>
      <c r="I7" s="33"/>
      <c r="J7" s="31" t="str">
        <f>IFERROR("(" &amp; $H$7*$P$7 &amp; ")", 0)</f>
        <v>(14)</v>
      </c>
      <c r="K7" s="33"/>
      <c r="L7" s="22" t="s">
        <v>387</v>
      </c>
      <c r="M7" s="22"/>
      <c r="N7" s="22"/>
      <c r="O7" s="22"/>
      <c r="P7" s="45">
        <f>COUNTIFS($B:$B,"*"&amp;$BV$4&amp;"*")</f>
        <v>34</v>
      </c>
      <c r="Q7" s="45"/>
      <c r="R7" s="45"/>
      <c r="S7" s="45"/>
      <c r="T7" s="31">
        <f>IFERROR(COUNTIFS($B:$B,"*"&amp;$BW$4&amp;"*", $E:$E, "&gt;0")/AB$7, 0)</f>
        <v>0.2978723404255319</v>
      </c>
      <c r="U7" s="33"/>
      <c r="V7" s="31" t="str">
        <f>IFERROR("(" &amp; $T$7*$AB$7 &amp; ")", 0)</f>
        <v>(14)</v>
      </c>
      <c r="W7" s="33"/>
      <c r="X7" s="22" t="s">
        <v>387</v>
      </c>
      <c r="Y7" s="22"/>
      <c r="Z7" s="22"/>
      <c r="AA7" s="22"/>
      <c r="AB7" s="45">
        <f>COUNTIFS($B:$B,"*"&amp;$BW$4&amp;"*")</f>
        <v>47</v>
      </c>
      <c r="AC7" s="45"/>
      <c r="AD7" s="45"/>
      <c r="AE7" s="45"/>
      <c r="AF7" s="31">
        <f>IFERROR(COUNTIFS($B:$B,"*"&amp;$BX$4&amp;"*", $E:$E, "&gt;0")/AN$7, 0)</f>
        <v>0.23684210526315788</v>
      </c>
      <c r="AG7" s="33"/>
      <c r="AH7" s="31" t="str">
        <f>IFERROR("(" &amp; $AF$7*$AN$7 &amp; ")", 0)</f>
        <v>(9)</v>
      </c>
      <c r="AI7" s="33"/>
      <c r="AJ7" s="22" t="s">
        <v>387</v>
      </c>
      <c r="AK7" s="22"/>
      <c r="AL7" s="22"/>
      <c r="AM7" s="22"/>
      <c r="AN7" s="45">
        <f>COUNTIFS($B:$B,"*"&amp;$BX$4&amp;"*")</f>
        <v>38</v>
      </c>
      <c r="AO7" s="45"/>
      <c r="AP7" s="45"/>
      <c r="AQ7" s="45"/>
      <c r="AR7" s="31">
        <f>IFERROR(COUNTIFS($B:$B,"*"&amp;$BY$4&amp;"*", $E:$E, "&gt;0")/BH$7, 0)</f>
        <v>0.29411764705882354</v>
      </c>
      <c r="AS7" s="32"/>
      <c r="AT7" s="32"/>
      <c r="AU7" s="33"/>
      <c r="AV7" s="32" t="str">
        <f>IFERROR("(" &amp; $BH$7*$AN$7 &amp; ")", 0)</f>
        <v>(2584)</v>
      </c>
      <c r="AW7" s="32"/>
      <c r="AX7" s="32"/>
      <c r="AY7" s="33"/>
      <c r="AZ7" s="34" t="s">
        <v>387</v>
      </c>
      <c r="BA7" s="35"/>
      <c r="BB7" s="35"/>
      <c r="BC7" s="35"/>
      <c r="BD7" s="35"/>
      <c r="BE7" s="35"/>
      <c r="BF7" s="35"/>
      <c r="BG7" s="36"/>
      <c r="BH7" s="37">
        <f>COUNTIFS($B:$B,"*"&amp;$BY$4&amp;"*")</f>
        <v>68</v>
      </c>
      <c r="BI7" s="38"/>
      <c r="BJ7" s="38"/>
      <c r="BK7" s="38"/>
      <c r="BL7" s="38"/>
      <c r="BM7" s="38"/>
      <c r="BN7" s="38"/>
      <c r="BO7" s="39"/>
    </row>
    <row r="8" spans="1:79" x14ac:dyDescent="0.25">
      <c r="A8" s="53"/>
      <c r="B8" s="53"/>
      <c r="C8" s="53"/>
      <c r="D8" s="53"/>
      <c r="E8" s="53"/>
      <c r="F8" s="1"/>
      <c r="G8" s="13" t="s">
        <v>390</v>
      </c>
      <c r="H8" s="40">
        <f>IFERROR(COUNTIFS($E:$E, "&gt;0")/AR$8, 0)</f>
        <v>0.34759358288770054</v>
      </c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 t="str">
        <f>IFERROR("(" &amp; $H$8*$AR$8 &amp; ")", 0)</f>
        <v>(65)</v>
      </c>
      <c r="U8" s="41"/>
      <c r="V8" s="41"/>
      <c r="W8" s="41"/>
      <c r="X8" s="41"/>
      <c r="Y8" s="41"/>
      <c r="Z8" s="41"/>
      <c r="AA8" s="41"/>
      <c r="AB8" s="41"/>
      <c r="AC8" s="41"/>
      <c r="AD8" s="41"/>
      <c r="AE8" s="42"/>
      <c r="AF8" s="17" t="s">
        <v>387</v>
      </c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9"/>
      <c r="AR8" s="43">
        <f>SUM(P7,AB7,AN7,BH7)</f>
        <v>187</v>
      </c>
      <c r="AS8" s="44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9"/>
    </row>
    <row r="9" spans="1:79" x14ac:dyDescent="0.25">
      <c r="A9" s="53"/>
      <c r="B9" s="53"/>
      <c r="C9" s="53"/>
      <c r="D9" s="53"/>
      <c r="E9" s="53"/>
      <c r="F9" s="1"/>
    </row>
    <row r="10" spans="1:79" ht="20.25" thickBot="1" x14ac:dyDescent="0.35">
      <c r="A10" s="53"/>
      <c r="B10" s="53"/>
      <c r="C10" s="53"/>
      <c r="D10" s="53"/>
      <c r="E10" s="53"/>
      <c r="F10" s="1"/>
      <c r="G10" s="23" t="s">
        <v>391</v>
      </c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5"/>
    </row>
    <row r="11" spans="1:79" ht="18.75" thickTop="1" thickBot="1" x14ac:dyDescent="0.35">
      <c r="A11" s="53"/>
      <c r="B11" s="53"/>
      <c r="C11" s="53"/>
      <c r="D11" s="53"/>
      <c r="E11" s="53"/>
      <c r="F11" s="1"/>
      <c r="G11" s="2" t="s">
        <v>371</v>
      </c>
      <c r="H11" s="26" t="s">
        <v>372</v>
      </c>
      <c r="I11" s="27"/>
      <c r="J11" s="27"/>
      <c r="K11" s="28"/>
      <c r="L11" s="26" t="s">
        <v>373</v>
      </c>
      <c r="M11" s="27"/>
      <c r="N11" s="27"/>
      <c r="O11" s="28"/>
      <c r="P11" s="26" t="s">
        <v>374</v>
      </c>
      <c r="Q11" s="27"/>
      <c r="R11" s="27"/>
      <c r="S11" s="28"/>
      <c r="T11" s="26" t="s">
        <v>375</v>
      </c>
      <c r="U11" s="27"/>
      <c r="V11" s="27"/>
      <c r="W11" s="27"/>
      <c r="X11" s="27"/>
      <c r="Y11" s="27"/>
      <c r="Z11" s="27"/>
      <c r="AA11" s="28"/>
    </row>
    <row r="12" spans="1:79" ht="16.5" thickTop="1" thickBot="1" x14ac:dyDescent="0.3">
      <c r="A12" s="53"/>
      <c r="B12" s="53"/>
      <c r="C12" s="53"/>
      <c r="D12" s="53"/>
      <c r="E12" s="53"/>
      <c r="F12" s="1"/>
      <c r="G12" s="3" t="s">
        <v>377</v>
      </c>
      <c r="H12" s="29" t="s">
        <v>378</v>
      </c>
      <c r="I12" s="30"/>
      <c r="J12" s="14" t="s">
        <v>379</v>
      </c>
      <c r="K12" s="14" t="s">
        <v>380</v>
      </c>
      <c r="L12" s="29" t="s">
        <v>378</v>
      </c>
      <c r="M12" s="30"/>
      <c r="N12" s="14" t="s">
        <v>379</v>
      </c>
      <c r="O12" s="14" t="s">
        <v>380</v>
      </c>
      <c r="P12" s="29" t="s">
        <v>378</v>
      </c>
      <c r="Q12" s="30"/>
      <c r="R12" s="14" t="s">
        <v>379</v>
      </c>
      <c r="S12" s="14" t="s">
        <v>380</v>
      </c>
      <c r="T12" s="29" t="s">
        <v>378</v>
      </c>
      <c r="U12" s="30"/>
      <c r="V12" s="14" t="s">
        <v>379</v>
      </c>
      <c r="W12" s="14" t="s">
        <v>380</v>
      </c>
      <c r="X12" s="29" t="s">
        <v>381</v>
      </c>
      <c r="Y12" s="30"/>
      <c r="Z12" s="14" t="s">
        <v>382</v>
      </c>
      <c r="AA12" s="14" t="s">
        <v>383</v>
      </c>
    </row>
    <row r="13" spans="1:79" x14ac:dyDescent="0.25">
      <c r="A13" s="53"/>
      <c r="B13" s="53"/>
      <c r="C13" s="53"/>
      <c r="D13" s="53"/>
      <c r="E13" s="53"/>
      <c r="F13" s="1"/>
      <c r="G13" s="8" t="s">
        <v>388</v>
      </c>
      <c r="H13" s="20">
        <f>COUNTIFS(A:A, "Disqualified", B:B, "*Fly*", B:B, "*50*")+COUNTIFS(A:A, "NoShow", B:B, "*Fly*", B:B, "*50*")</f>
        <v>0</v>
      </c>
      <c r="I13" s="21"/>
      <c r="J13" s="8">
        <f>COUNTIFS(A:A, "Disqualified", B:B, "*Fly*", B:B, "*100*")+COUNTIFS(A:A, "NoShow", B:B, "*Fly*", B:B, "*100*")</f>
        <v>0</v>
      </c>
      <c r="K13" s="8">
        <f>COUNTIFS(A:A, "Disqualified", B:B, "*Fly*", B:B, "*200*")+COUNTIFS(A:A, "NoShow", B:B, "*Fly*", B:B, "*200*")</f>
        <v>0</v>
      </c>
      <c r="L13" s="20">
        <f>COUNTIFS(A:A, "Disqualified", B:B, "*Back*", B:B, "*50*")+COUNTIFS(A:A, "NoShow", B:B, "*Back*", B:B, "*50*")</f>
        <v>0</v>
      </c>
      <c r="M13" s="21"/>
      <c r="N13" s="8">
        <f>COUNTIFS(A:A, "Disqualified", B:B, "*Back*", B:B, "*100*")+COUNTIFS(A:A, "NoShow", B:B, "*Back*", B:B, "*100*")</f>
        <v>1</v>
      </c>
      <c r="O13" s="8">
        <f>COUNTIFS(A:A, "Disqualified", B:B, "*Back*", B:B, "*200*")+COUNTIFS(A:A, "NoShow", B:B, "*Back*", B:B, "*200*")</f>
        <v>0</v>
      </c>
      <c r="P13" s="20">
        <f>COUNTIFS(A:A, "Disqualified", B:B, "*Breast*", B:B, "*50*")+COUNTIFS(A:A, "NoShow", B:B, "*Breast*", B:B, "*50*")</f>
        <v>1</v>
      </c>
      <c r="Q13" s="21"/>
      <c r="R13" s="8">
        <f>COUNTIFS(A:A, "Disqualified", B:B, "*Breast*", B:B, "*100*")+COUNTIFS(A:A, "NoShow", B:B, "*Breast*", B:B, "*100*")</f>
        <v>0</v>
      </c>
      <c r="S13" s="8">
        <f>COUNTIFS(A:A, "Disqualified", B:B, "*Breast*", B:B, "*200*")+COUNTIFS(A:A, "NoShow", B:B, "*Breast*", B:B, "*200*")</f>
        <v>0</v>
      </c>
      <c r="T13" s="20">
        <f>COUNTIFS(A:A, "Disqualified", B:B, "*Free*", B:B, "*50*")+COUNTIFS(A:A, "NoShow", B:B, "*Free*", B:B, "*50*")</f>
        <v>0</v>
      </c>
      <c r="U13" s="21"/>
      <c r="V13" s="8">
        <f>COUNTIFS(A:A, "Disqualified", B:B, "*Free*", B:B, "*100*")+COUNTIFS(A:A, "NoShow", B:B, "*Free*", B:B, "*100*")</f>
        <v>1</v>
      </c>
      <c r="W13" s="8">
        <f>COUNTIFS(A:A, "Disqualified", B:B, "*Free*", B:B, "*200*")+COUNTIFS(A:A, "NoShow", B:B, "*Free*", B:B, "*200*")</f>
        <v>1</v>
      </c>
      <c r="X13" s="20">
        <f>COUNTIFS(A:A, "Disqualified", B:B, "*Free*", B:B, "*400*")+COUNTIFS(A:A, "NoShow", B:B, "*Free*", B:B, "*400*")</f>
        <v>0</v>
      </c>
      <c r="Y13" s="21"/>
      <c r="Z13" s="8">
        <f>COUNTIFS(A:A, "Disqualified", B:B, "*Free*", B:B, "*800*")+COUNTIFS(A:A, "NoShow", B:B, "*Free*", B:B, "*800*")</f>
        <v>0</v>
      </c>
      <c r="AA13" s="8">
        <f>COUNTIFS(A:A, "Disqualified", B:B, "*Free*", B:B, "*1500*")+COUNTIFS(A:A, "NoShow", B:B, "*Free*", B:B, "*1500*")</f>
        <v>0</v>
      </c>
    </row>
    <row r="14" spans="1:79" x14ac:dyDescent="0.25">
      <c r="A14" s="53"/>
      <c r="B14" s="53"/>
      <c r="C14" s="53"/>
      <c r="D14" s="53"/>
      <c r="E14" s="53"/>
      <c r="F14" s="1"/>
      <c r="G14" s="15" t="s">
        <v>389</v>
      </c>
      <c r="H14" s="22">
        <f>COUNTIFS(A:A, "Disqualified", B:B, "*Fly*")+COUNTIFS(A:A, "NoShow", B:B, "*Fly*")</f>
        <v>0</v>
      </c>
      <c r="I14" s="22"/>
      <c r="J14" s="22"/>
      <c r="K14" s="22"/>
      <c r="L14" s="22">
        <f>COUNTIFS(A:A, "Disqualified", B:B, "*Back*")+COUNTIFS(A:A, "NoShow", B:B, "*Back*")</f>
        <v>1</v>
      </c>
      <c r="M14" s="22"/>
      <c r="N14" s="22"/>
      <c r="O14" s="22"/>
      <c r="P14" s="22">
        <f>COUNTIFS(A:A, "Disqualified", B:B, "*Breast*")+COUNTIFS(A:A, "NoShow", B:B, "*Breast*")</f>
        <v>1</v>
      </c>
      <c r="Q14" s="22"/>
      <c r="R14" s="22"/>
      <c r="S14" s="22"/>
      <c r="T14" s="22">
        <f>COUNTIFS(A:A, "Disqualified", B:B, "*Free*")+COUNTIFS(A:A, "NoShow", B:B, "*Free*")</f>
        <v>2</v>
      </c>
      <c r="U14" s="22"/>
      <c r="V14" s="22"/>
      <c r="W14" s="22"/>
      <c r="X14" s="22"/>
      <c r="Y14" s="22"/>
      <c r="Z14" s="22"/>
      <c r="AA14" s="22"/>
    </row>
    <row r="15" spans="1:79" x14ac:dyDescent="0.25">
      <c r="A15" s="53"/>
      <c r="B15" s="53"/>
      <c r="C15" s="53"/>
      <c r="D15" s="53"/>
      <c r="E15" s="53"/>
      <c r="F15" s="1"/>
      <c r="G15" s="16" t="s">
        <v>390</v>
      </c>
      <c r="H15" s="17">
        <f>COUNTIFS(A:A, "Disqualified")+COUNTIFS(A:A, "NoShow")</f>
        <v>6</v>
      </c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9"/>
    </row>
    <row r="16" spans="1:79" x14ac:dyDescent="0.25">
      <c r="A16" s="53"/>
      <c r="B16" s="53"/>
      <c r="C16" s="53"/>
      <c r="D16" s="53"/>
      <c r="E16" s="53"/>
      <c r="F16" s="1"/>
    </row>
    <row r="17" spans="1:6" x14ac:dyDescent="0.25">
      <c r="A17" s="1"/>
      <c r="B17" s="1"/>
      <c r="C17" s="1"/>
      <c r="D17" s="1"/>
      <c r="E17" s="1"/>
      <c r="F17" s="1"/>
    </row>
    <row r="18" spans="1:6" x14ac:dyDescent="0.25">
      <c r="A18" t="s">
        <v>364</v>
      </c>
      <c r="B18" t="s">
        <v>365</v>
      </c>
      <c r="C18" t="s">
        <v>366</v>
      </c>
      <c r="D18" t="s">
        <v>367</v>
      </c>
      <c r="E18" t="s">
        <v>368</v>
      </c>
    </row>
    <row r="19" spans="1:6" x14ac:dyDescent="0.25">
      <c r="A19" t="s">
        <v>392</v>
      </c>
    </row>
    <row r="20" spans="1:6" hidden="1" outlineLevel="1" x14ac:dyDescent="0.25">
      <c r="A20" t="s">
        <v>0</v>
      </c>
      <c r="B20" t="s">
        <v>1</v>
      </c>
      <c r="C20" t="s">
        <v>2</v>
      </c>
      <c r="D20" t="s">
        <v>3</v>
      </c>
      <c r="E20">
        <v>-59.14</v>
      </c>
    </row>
    <row r="21" spans="1:6" hidden="1" outlineLevel="1" x14ac:dyDescent="0.25">
      <c r="A21" t="s">
        <v>4</v>
      </c>
      <c r="B21" t="s">
        <v>5</v>
      </c>
      <c r="E21">
        <v>-6.55</v>
      </c>
    </row>
    <row r="22" spans="1:6" hidden="1" outlineLevel="1" x14ac:dyDescent="0.25">
      <c r="A22" t="s">
        <v>6</v>
      </c>
      <c r="B22" t="s">
        <v>7</v>
      </c>
      <c r="C22" t="s">
        <v>8</v>
      </c>
      <c r="D22" t="s">
        <v>9</v>
      </c>
      <c r="E22">
        <v>-7.06</v>
      </c>
    </row>
    <row r="23" spans="1:6" hidden="1" outlineLevel="1" x14ac:dyDescent="0.25">
      <c r="A23" t="s">
        <v>10</v>
      </c>
      <c r="B23" t="s">
        <v>11</v>
      </c>
      <c r="C23" t="s">
        <v>12</v>
      </c>
      <c r="D23" t="s">
        <v>9</v>
      </c>
      <c r="E23">
        <v>-5.46</v>
      </c>
    </row>
    <row r="24" spans="1:6" hidden="1" outlineLevel="1" x14ac:dyDescent="0.25">
      <c r="A24" t="s">
        <v>13</v>
      </c>
      <c r="B24" t="s">
        <v>14</v>
      </c>
      <c r="C24" t="s">
        <v>15</v>
      </c>
      <c r="E24">
        <v>2.61</v>
      </c>
    </row>
    <row r="25" spans="1:6" hidden="1" outlineLevel="1" x14ac:dyDescent="0.25">
      <c r="A25" t="s">
        <v>16</v>
      </c>
      <c r="B25" t="s">
        <v>17</v>
      </c>
      <c r="C25" t="s">
        <v>18</v>
      </c>
      <c r="D25" t="s">
        <v>19</v>
      </c>
      <c r="E25">
        <v>-1.24</v>
      </c>
    </row>
    <row r="26" spans="1:6" hidden="1" outlineLevel="1" x14ac:dyDescent="0.25">
      <c r="A26" t="s">
        <v>20</v>
      </c>
      <c r="B26" t="s">
        <v>21</v>
      </c>
      <c r="C26" t="s">
        <v>22</v>
      </c>
      <c r="D26" t="s">
        <v>19</v>
      </c>
      <c r="E26">
        <v>-1.37</v>
      </c>
    </row>
    <row r="27" spans="1:6" hidden="1" outlineLevel="1" x14ac:dyDescent="0.25">
      <c r="A27" t="s">
        <v>23</v>
      </c>
      <c r="B27" t="s">
        <v>24</v>
      </c>
      <c r="E27">
        <v>0.36</v>
      </c>
    </row>
    <row r="28" spans="1:6" hidden="1" outlineLevel="1" x14ac:dyDescent="0.25">
      <c r="A28" t="s">
        <v>25</v>
      </c>
      <c r="B28" t="s">
        <v>26</v>
      </c>
      <c r="C28" t="s">
        <v>27</v>
      </c>
      <c r="D28" t="s">
        <v>28</v>
      </c>
      <c r="E28">
        <v>-0.61</v>
      </c>
    </row>
    <row r="29" spans="1:6" hidden="1" outlineLevel="1" x14ac:dyDescent="0.25">
      <c r="A29" t="s">
        <v>29</v>
      </c>
      <c r="B29" t="s">
        <v>30</v>
      </c>
      <c r="C29" t="s">
        <v>27</v>
      </c>
      <c r="D29" t="s">
        <v>28</v>
      </c>
      <c r="E29">
        <v>-0.34</v>
      </c>
    </row>
    <row r="30" spans="1:6" hidden="1" outlineLevel="1" x14ac:dyDescent="0.25">
      <c r="A30" t="s">
        <v>31</v>
      </c>
      <c r="B30" t="s">
        <v>32</v>
      </c>
      <c r="C30" t="s">
        <v>33</v>
      </c>
      <c r="D30" t="s">
        <v>34</v>
      </c>
      <c r="E30">
        <v>-3.2</v>
      </c>
    </row>
    <row r="31" spans="1:6" hidden="1" outlineLevel="1" x14ac:dyDescent="0.25">
      <c r="A31" t="s">
        <v>35</v>
      </c>
      <c r="B31" t="s">
        <v>36</v>
      </c>
      <c r="C31" t="s">
        <v>37</v>
      </c>
      <c r="D31" t="s">
        <v>34</v>
      </c>
      <c r="E31">
        <v>-1.54</v>
      </c>
    </row>
    <row r="32" spans="1:6" hidden="1" outlineLevel="1" x14ac:dyDescent="0.25">
      <c r="A32" t="s">
        <v>38</v>
      </c>
      <c r="B32" t="s">
        <v>39</v>
      </c>
      <c r="C32" t="s">
        <v>27</v>
      </c>
      <c r="D32" t="s">
        <v>28</v>
      </c>
      <c r="E32">
        <v>0.16</v>
      </c>
    </row>
    <row r="33" spans="1:5" hidden="1" outlineLevel="1" x14ac:dyDescent="0.25">
      <c r="A33" t="s">
        <v>41</v>
      </c>
      <c r="B33" t="s">
        <v>42</v>
      </c>
      <c r="C33" t="s">
        <v>12</v>
      </c>
      <c r="D33" t="s">
        <v>28</v>
      </c>
      <c r="E33">
        <v>0.49</v>
      </c>
    </row>
    <row r="34" spans="1:5" hidden="1" outlineLevel="1" x14ac:dyDescent="0.25">
      <c r="A34" t="s">
        <v>43</v>
      </c>
      <c r="B34" t="s">
        <v>44</v>
      </c>
      <c r="C34" t="s">
        <v>2</v>
      </c>
      <c r="D34" t="s">
        <v>3</v>
      </c>
      <c r="E34">
        <v>-1.64</v>
      </c>
    </row>
    <row r="35" spans="1:5" hidden="1" outlineLevel="1" x14ac:dyDescent="0.25">
      <c r="A35" t="s">
        <v>45</v>
      </c>
      <c r="B35" t="s">
        <v>46</v>
      </c>
      <c r="C35" t="s">
        <v>12</v>
      </c>
      <c r="D35" t="s">
        <v>3</v>
      </c>
      <c r="E35">
        <v>-2.2999999999999998</v>
      </c>
    </row>
    <row r="36" spans="1:5" collapsed="1" x14ac:dyDescent="0.25">
      <c r="A36" t="s">
        <v>393</v>
      </c>
    </row>
    <row r="37" spans="1:5" hidden="1" outlineLevel="1" x14ac:dyDescent="0.25">
      <c r="A37" t="s">
        <v>47</v>
      </c>
      <c r="B37" t="s">
        <v>48</v>
      </c>
      <c r="E37">
        <v>4.22</v>
      </c>
    </row>
    <row r="38" spans="1:5" hidden="1" outlineLevel="1" x14ac:dyDescent="0.25">
      <c r="A38" t="s">
        <v>49</v>
      </c>
      <c r="B38" t="s">
        <v>50</v>
      </c>
      <c r="C38" t="s">
        <v>28</v>
      </c>
      <c r="E38">
        <v>-1.1200000000000001</v>
      </c>
    </row>
    <row r="39" spans="1:5" hidden="1" outlineLevel="1" x14ac:dyDescent="0.25">
      <c r="A39" t="s">
        <v>51</v>
      </c>
      <c r="B39" t="s">
        <v>52</v>
      </c>
      <c r="C39" t="s">
        <v>34</v>
      </c>
      <c r="E39">
        <v>-0.76</v>
      </c>
    </row>
    <row r="40" spans="1:5" hidden="1" outlineLevel="1" x14ac:dyDescent="0.25">
      <c r="A40" t="s">
        <v>53</v>
      </c>
      <c r="B40" t="s">
        <v>54</v>
      </c>
      <c r="C40" t="s">
        <v>55</v>
      </c>
      <c r="E40">
        <v>13.61</v>
      </c>
    </row>
    <row r="41" spans="1:5" hidden="1" outlineLevel="1" x14ac:dyDescent="0.25">
      <c r="A41" t="s">
        <v>56</v>
      </c>
      <c r="B41" t="s">
        <v>57</v>
      </c>
      <c r="C41" t="s">
        <v>18</v>
      </c>
      <c r="E41">
        <v>5.0599999999999996</v>
      </c>
    </row>
    <row r="42" spans="1:5" hidden="1" outlineLevel="1" x14ac:dyDescent="0.25">
      <c r="A42" t="s">
        <v>58</v>
      </c>
      <c r="B42" t="s">
        <v>59</v>
      </c>
      <c r="C42" t="s">
        <v>8</v>
      </c>
      <c r="E42">
        <v>-5.07</v>
      </c>
    </row>
    <row r="43" spans="1:5" collapsed="1" x14ac:dyDescent="0.25">
      <c r="A43" t="s">
        <v>394</v>
      </c>
    </row>
    <row r="44" spans="1:5" hidden="1" outlineLevel="1" x14ac:dyDescent="0.25">
      <c r="A44" t="s">
        <v>60</v>
      </c>
      <c r="B44" t="s">
        <v>61</v>
      </c>
      <c r="C44" t="s">
        <v>3</v>
      </c>
      <c r="D44" t="s">
        <v>12</v>
      </c>
      <c r="E44">
        <v>-0.14000000000000001</v>
      </c>
    </row>
    <row r="45" spans="1:5" hidden="1" outlineLevel="1" x14ac:dyDescent="0.25">
      <c r="A45" t="s">
        <v>62</v>
      </c>
      <c r="B45" t="s">
        <v>63</v>
      </c>
      <c r="C45" t="s">
        <v>64</v>
      </c>
      <c r="D45" t="s">
        <v>12</v>
      </c>
      <c r="E45">
        <v>0.04</v>
      </c>
    </row>
    <row r="46" spans="1:5" hidden="1" outlineLevel="1" x14ac:dyDescent="0.25">
      <c r="A46" t="s">
        <v>65</v>
      </c>
      <c r="B46" t="s">
        <v>66</v>
      </c>
      <c r="C46" t="s">
        <v>28</v>
      </c>
      <c r="D46" t="s">
        <v>33</v>
      </c>
    </row>
    <row r="47" spans="1:5" hidden="1" outlineLevel="1" x14ac:dyDescent="0.25">
      <c r="A47" t="s">
        <v>67</v>
      </c>
      <c r="B47" t="s">
        <v>68</v>
      </c>
      <c r="C47" t="s">
        <v>69</v>
      </c>
      <c r="D47" t="s">
        <v>33</v>
      </c>
      <c r="E47">
        <v>-0.42</v>
      </c>
    </row>
    <row r="48" spans="1:5" hidden="1" outlineLevel="1" x14ac:dyDescent="0.25">
      <c r="A48" t="s">
        <v>70</v>
      </c>
      <c r="B48" t="s">
        <v>71</v>
      </c>
      <c r="C48" t="s">
        <v>2</v>
      </c>
      <c r="D48" t="s">
        <v>3</v>
      </c>
      <c r="E48">
        <v>-3.64</v>
      </c>
    </row>
    <row r="49" spans="1:5" hidden="1" outlineLevel="1" x14ac:dyDescent="0.25">
      <c r="A49" t="s">
        <v>72</v>
      </c>
      <c r="B49" t="s">
        <v>73</v>
      </c>
      <c r="C49" t="s">
        <v>2</v>
      </c>
      <c r="D49" t="s">
        <v>3</v>
      </c>
      <c r="E49">
        <v>-1.23</v>
      </c>
    </row>
    <row r="50" spans="1:5" hidden="1" outlineLevel="1" x14ac:dyDescent="0.25">
      <c r="A50" t="s">
        <v>74</v>
      </c>
      <c r="B50" t="s">
        <v>75</v>
      </c>
      <c r="C50" t="s">
        <v>33</v>
      </c>
      <c r="D50" t="s">
        <v>34</v>
      </c>
      <c r="E50">
        <v>-1.31</v>
      </c>
    </row>
    <row r="51" spans="1:5" hidden="1" outlineLevel="1" x14ac:dyDescent="0.25">
      <c r="A51" t="s">
        <v>76</v>
      </c>
      <c r="B51" t="s">
        <v>77</v>
      </c>
      <c r="C51" t="s">
        <v>2</v>
      </c>
      <c r="D51" t="s">
        <v>34</v>
      </c>
      <c r="E51">
        <v>1.97</v>
      </c>
    </row>
    <row r="52" spans="1:5" hidden="1" outlineLevel="1" x14ac:dyDescent="0.25">
      <c r="A52" t="s">
        <v>78</v>
      </c>
      <c r="B52" t="s">
        <v>79</v>
      </c>
      <c r="C52" t="s">
        <v>9</v>
      </c>
      <c r="D52" t="s">
        <v>19</v>
      </c>
      <c r="E52">
        <v>-0.4</v>
      </c>
    </row>
    <row r="53" spans="1:5" hidden="1" outlineLevel="1" x14ac:dyDescent="0.25">
      <c r="A53" t="s">
        <v>80</v>
      </c>
      <c r="B53" t="s">
        <v>81</v>
      </c>
      <c r="C53" t="s">
        <v>82</v>
      </c>
      <c r="D53" t="s">
        <v>19</v>
      </c>
      <c r="E53">
        <v>0.28999999999999998</v>
      </c>
    </row>
    <row r="54" spans="1:5" hidden="1" outlineLevel="1" x14ac:dyDescent="0.25">
      <c r="A54" t="s">
        <v>83</v>
      </c>
      <c r="B54" t="s">
        <v>84</v>
      </c>
      <c r="E54">
        <v>-0.53</v>
      </c>
    </row>
    <row r="55" spans="1:5" hidden="1" outlineLevel="1" x14ac:dyDescent="0.25">
      <c r="A55" t="s">
        <v>85</v>
      </c>
      <c r="B55" t="s">
        <v>86</v>
      </c>
      <c r="C55" t="s">
        <v>22</v>
      </c>
      <c r="D55" t="s">
        <v>87</v>
      </c>
      <c r="E55">
        <v>-2.23</v>
      </c>
    </row>
    <row r="56" spans="1:5" hidden="1" outlineLevel="1" x14ac:dyDescent="0.25">
      <c r="A56" t="s">
        <v>88</v>
      </c>
      <c r="B56" t="s">
        <v>89</v>
      </c>
      <c r="C56" t="s">
        <v>22</v>
      </c>
      <c r="D56" t="s">
        <v>87</v>
      </c>
      <c r="E56">
        <v>-1.31</v>
      </c>
    </row>
    <row r="57" spans="1:5" hidden="1" outlineLevel="1" x14ac:dyDescent="0.25">
      <c r="A57" t="s">
        <v>90</v>
      </c>
      <c r="B57" t="s">
        <v>91</v>
      </c>
      <c r="C57" t="s">
        <v>3</v>
      </c>
      <c r="E57">
        <v>1.25</v>
      </c>
    </row>
    <row r="58" spans="1:5" hidden="1" outlineLevel="1" x14ac:dyDescent="0.25">
      <c r="A58" t="s">
        <v>92</v>
      </c>
      <c r="B58" t="s">
        <v>93</v>
      </c>
      <c r="C58" t="s">
        <v>27</v>
      </c>
      <c r="D58" t="s">
        <v>28</v>
      </c>
      <c r="E58">
        <v>-0.68</v>
      </c>
    </row>
    <row r="59" spans="1:5" hidden="1" outlineLevel="1" x14ac:dyDescent="0.25">
      <c r="A59" t="s">
        <v>94</v>
      </c>
      <c r="B59" t="s">
        <v>95</v>
      </c>
      <c r="C59" t="s">
        <v>22</v>
      </c>
      <c r="D59" t="s">
        <v>28</v>
      </c>
      <c r="E59">
        <v>0.47</v>
      </c>
    </row>
    <row r="60" spans="1:5" collapsed="1" x14ac:dyDescent="0.25">
      <c r="A60" t="s">
        <v>395</v>
      </c>
    </row>
    <row r="61" spans="1:5" hidden="1" outlineLevel="1" x14ac:dyDescent="0.25">
      <c r="A61" t="s">
        <v>96</v>
      </c>
      <c r="B61" t="s">
        <v>97</v>
      </c>
      <c r="C61" t="s">
        <v>9</v>
      </c>
      <c r="D61" t="s">
        <v>19</v>
      </c>
      <c r="E61">
        <v>-51.89</v>
      </c>
    </row>
    <row r="62" spans="1:5" hidden="1" outlineLevel="1" x14ac:dyDescent="0.25">
      <c r="A62" t="s">
        <v>98</v>
      </c>
      <c r="B62" t="s">
        <v>48</v>
      </c>
      <c r="C62" t="s">
        <v>19</v>
      </c>
      <c r="E62">
        <v>-13.96</v>
      </c>
    </row>
    <row r="63" spans="1:5" hidden="1" outlineLevel="1" x14ac:dyDescent="0.25">
      <c r="A63" t="s">
        <v>99</v>
      </c>
      <c r="B63" t="s">
        <v>100</v>
      </c>
      <c r="C63" t="s">
        <v>12</v>
      </c>
      <c r="D63" t="s">
        <v>15</v>
      </c>
      <c r="E63">
        <v>-19.989999999999998</v>
      </c>
    </row>
    <row r="64" spans="1:5" hidden="1" outlineLevel="1" x14ac:dyDescent="0.25">
      <c r="A64" t="s">
        <v>101</v>
      </c>
      <c r="B64" t="s">
        <v>102</v>
      </c>
      <c r="C64" t="s">
        <v>12</v>
      </c>
      <c r="D64" t="s">
        <v>15</v>
      </c>
      <c r="E64">
        <v>-12.25</v>
      </c>
    </row>
    <row r="65" spans="1:5" hidden="1" outlineLevel="1" x14ac:dyDescent="0.25">
      <c r="A65" t="s">
        <v>103</v>
      </c>
      <c r="B65" t="s">
        <v>104</v>
      </c>
      <c r="C65" t="s">
        <v>27</v>
      </c>
      <c r="D65" t="s">
        <v>28</v>
      </c>
      <c r="E65">
        <v>-14.32</v>
      </c>
    </row>
    <row r="66" spans="1:5" hidden="1" outlineLevel="1" x14ac:dyDescent="0.25">
      <c r="A66" t="s">
        <v>105</v>
      </c>
      <c r="B66" t="s">
        <v>106</v>
      </c>
      <c r="C66" t="s">
        <v>22</v>
      </c>
      <c r="D66" t="s">
        <v>28</v>
      </c>
      <c r="E66">
        <v>-12.06</v>
      </c>
    </row>
    <row r="67" spans="1:5" hidden="1" outlineLevel="1" x14ac:dyDescent="0.25">
      <c r="A67" t="s">
        <v>107</v>
      </c>
      <c r="B67" t="s">
        <v>108</v>
      </c>
      <c r="C67" t="s">
        <v>9</v>
      </c>
      <c r="D67" t="s">
        <v>19</v>
      </c>
      <c r="E67">
        <v>-35.299999999999997</v>
      </c>
    </row>
    <row r="68" spans="1:5" hidden="1" outlineLevel="1" x14ac:dyDescent="0.25">
      <c r="A68" t="s">
        <v>109</v>
      </c>
      <c r="B68" t="s">
        <v>54</v>
      </c>
      <c r="C68" t="s">
        <v>69</v>
      </c>
      <c r="D68" t="s">
        <v>19</v>
      </c>
      <c r="E68">
        <v>-31.39</v>
      </c>
    </row>
    <row r="69" spans="1:5" hidden="1" outlineLevel="1" x14ac:dyDescent="0.25">
      <c r="A69" t="s">
        <v>47</v>
      </c>
      <c r="B69" t="s">
        <v>110</v>
      </c>
      <c r="E69">
        <v>-0.35</v>
      </c>
    </row>
    <row r="70" spans="1:5" hidden="1" outlineLevel="1" x14ac:dyDescent="0.25">
      <c r="A70" t="s">
        <v>111</v>
      </c>
      <c r="B70" t="s">
        <v>112</v>
      </c>
      <c r="C70" t="s">
        <v>3</v>
      </c>
      <c r="E70">
        <v>-6.24</v>
      </c>
    </row>
    <row r="71" spans="1:5" hidden="1" outlineLevel="1" x14ac:dyDescent="0.25">
      <c r="A71" t="s">
        <v>113</v>
      </c>
      <c r="B71" t="s">
        <v>59</v>
      </c>
      <c r="C71" t="s">
        <v>82</v>
      </c>
      <c r="E71">
        <v>-1.54</v>
      </c>
    </row>
    <row r="72" spans="1:5" collapsed="1" x14ac:dyDescent="0.25">
      <c r="A72" t="s">
        <v>396</v>
      </c>
    </row>
    <row r="73" spans="1:5" hidden="1" outlineLevel="1" x14ac:dyDescent="0.25">
      <c r="A73" t="s">
        <v>114</v>
      </c>
      <c r="B73" t="s">
        <v>115</v>
      </c>
      <c r="C73" t="s">
        <v>8</v>
      </c>
      <c r="E73">
        <v>3.85</v>
      </c>
    </row>
    <row r="74" spans="1:5" hidden="1" outlineLevel="1" x14ac:dyDescent="0.25">
      <c r="A74" t="s">
        <v>116</v>
      </c>
      <c r="B74" t="s">
        <v>117</v>
      </c>
      <c r="C74" t="s">
        <v>69</v>
      </c>
      <c r="D74" t="s">
        <v>118</v>
      </c>
      <c r="E74">
        <v>-2.0499999999999998</v>
      </c>
    </row>
    <row r="75" spans="1:5" hidden="1" outlineLevel="1" x14ac:dyDescent="0.25">
      <c r="A75" t="s">
        <v>119</v>
      </c>
      <c r="B75" t="s">
        <v>120</v>
      </c>
      <c r="C75" t="s">
        <v>69</v>
      </c>
      <c r="D75" t="s">
        <v>118</v>
      </c>
      <c r="E75">
        <v>-1.88</v>
      </c>
    </row>
    <row r="76" spans="1:5" hidden="1" outlineLevel="1" x14ac:dyDescent="0.25">
      <c r="A76" t="s">
        <v>121</v>
      </c>
      <c r="B76" t="s">
        <v>122</v>
      </c>
      <c r="C76" t="s">
        <v>82</v>
      </c>
      <c r="E76">
        <v>-0.31</v>
      </c>
    </row>
    <row r="77" spans="1:5" hidden="1" outlineLevel="1" x14ac:dyDescent="0.25">
      <c r="A77" t="s">
        <v>123</v>
      </c>
      <c r="B77" t="s">
        <v>124</v>
      </c>
      <c r="C77" t="s">
        <v>64</v>
      </c>
      <c r="E77">
        <v>-45.31</v>
      </c>
    </row>
    <row r="78" spans="1:5" hidden="1" outlineLevel="1" x14ac:dyDescent="0.25">
      <c r="A78" t="s">
        <v>125</v>
      </c>
      <c r="B78" t="s">
        <v>126</v>
      </c>
      <c r="C78" t="s">
        <v>87</v>
      </c>
      <c r="E78">
        <v>0.87</v>
      </c>
    </row>
    <row r="79" spans="1:5" hidden="1" outlineLevel="1" x14ac:dyDescent="0.25">
      <c r="A79" t="s">
        <v>127</v>
      </c>
      <c r="B79" t="s">
        <v>128</v>
      </c>
      <c r="C79" t="s">
        <v>118</v>
      </c>
      <c r="E79">
        <v>-3.1</v>
      </c>
    </row>
    <row r="80" spans="1:5" collapsed="1" x14ac:dyDescent="0.25">
      <c r="A80" t="s">
        <v>397</v>
      </c>
    </row>
    <row r="81" spans="1:5" hidden="1" outlineLevel="1" x14ac:dyDescent="0.25">
      <c r="A81" t="s">
        <v>129</v>
      </c>
      <c r="B81" t="s">
        <v>130</v>
      </c>
      <c r="C81" t="s">
        <v>12</v>
      </c>
      <c r="D81" t="s">
        <v>15</v>
      </c>
      <c r="E81">
        <v>6.04</v>
      </c>
    </row>
    <row r="82" spans="1:5" hidden="1" outlineLevel="1" x14ac:dyDescent="0.25">
      <c r="A82" t="s">
        <v>131</v>
      </c>
      <c r="B82" t="s">
        <v>132</v>
      </c>
      <c r="C82" t="s">
        <v>64</v>
      </c>
      <c r="D82" t="s">
        <v>37</v>
      </c>
      <c r="E82">
        <v>-0.05</v>
      </c>
    </row>
    <row r="83" spans="1:5" hidden="1" outlineLevel="1" x14ac:dyDescent="0.25">
      <c r="A83" t="s">
        <v>133</v>
      </c>
      <c r="B83" t="s">
        <v>134</v>
      </c>
      <c r="C83" t="s">
        <v>22</v>
      </c>
      <c r="D83" t="s">
        <v>37</v>
      </c>
      <c r="E83">
        <v>-0.22</v>
      </c>
    </row>
    <row r="84" spans="1:5" hidden="1" outlineLevel="1" x14ac:dyDescent="0.25">
      <c r="A84" t="s">
        <v>135</v>
      </c>
      <c r="B84" t="s">
        <v>136</v>
      </c>
      <c r="C84" t="s">
        <v>82</v>
      </c>
      <c r="D84" t="s">
        <v>82</v>
      </c>
      <c r="E84">
        <v>-0.18</v>
      </c>
    </row>
    <row r="85" spans="1:5" hidden="1" outlineLevel="1" x14ac:dyDescent="0.25">
      <c r="A85" t="s">
        <v>137</v>
      </c>
      <c r="B85" t="s">
        <v>138</v>
      </c>
      <c r="C85" t="s">
        <v>37</v>
      </c>
      <c r="D85" t="s">
        <v>82</v>
      </c>
      <c r="E85">
        <v>-0.01</v>
      </c>
    </row>
    <row r="86" spans="1:5" hidden="1" outlineLevel="1" x14ac:dyDescent="0.25">
      <c r="A86" t="s">
        <v>139</v>
      </c>
      <c r="B86" t="s">
        <v>140</v>
      </c>
      <c r="E86">
        <v>1.07</v>
      </c>
    </row>
    <row r="87" spans="1:5" hidden="1" outlineLevel="1" x14ac:dyDescent="0.25">
      <c r="A87" t="s">
        <v>98</v>
      </c>
      <c r="B87" t="s">
        <v>141</v>
      </c>
      <c r="C87" t="s">
        <v>27</v>
      </c>
      <c r="D87" t="s">
        <v>28</v>
      </c>
      <c r="E87">
        <v>2.54</v>
      </c>
    </row>
    <row r="88" spans="1:5" hidden="1" outlineLevel="1" x14ac:dyDescent="0.25">
      <c r="A88" t="s">
        <v>142</v>
      </c>
      <c r="B88" t="s">
        <v>143</v>
      </c>
      <c r="C88" t="s">
        <v>2</v>
      </c>
      <c r="D88" t="s">
        <v>28</v>
      </c>
      <c r="E88">
        <v>4.63</v>
      </c>
    </row>
    <row r="89" spans="1:5" hidden="1" outlineLevel="1" x14ac:dyDescent="0.25">
      <c r="A89" t="s">
        <v>144</v>
      </c>
      <c r="B89" t="s">
        <v>145</v>
      </c>
      <c r="C89" t="s">
        <v>22</v>
      </c>
      <c r="D89" t="s">
        <v>87</v>
      </c>
      <c r="E89">
        <v>0.85</v>
      </c>
    </row>
    <row r="90" spans="1:5" hidden="1" outlineLevel="1" x14ac:dyDescent="0.25">
      <c r="A90" t="s">
        <v>146</v>
      </c>
      <c r="B90" t="s">
        <v>147</v>
      </c>
      <c r="C90" t="s">
        <v>69</v>
      </c>
      <c r="D90" t="s">
        <v>87</v>
      </c>
      <c r="E90">
        <v>1.52</v>
      </c>
    </row>
    <row r="91" spans="1:5" hidden="1" outlineLevel="1" x14ac:dyDescent="0.25">
      <c r="A91" t="s">
        <v>148</v>
      </c>
      <c r="B91" t="s">
        <v>149</v>
      </c>
    </row>
    <row r="92" spans="1:5" hidden="1" outlineLevel="1" x14ac:dyDescent="0.25">
      <c r="A92" t="s">
        <v>148</v>
      </c>
      <c r="B92" t="s">
        <v>150</v>
      </c>
    </row>
    <row r="93" spans="1:5" collapsed="1" x14ac:dyDescent="0.25">
      <c r="A93" t="s">
        <v>398</v>
      </c>
    </row>
    <row r="94" spans="1:5" hidden="1" outlineLevel="1" x14ac:dyDescent="0.25">
      <c r="A94" t="s">
        <v>151</v>
      </c>
      <c r="B94" t="s">
        <v>97</v>
      </c>
      <c r="C94" t="s">
        <v>152</v>
      </c>
      <c r="D94" t="s">
        <v>9</v>
      </c>
      <c r="E94">
        <v>-21.85</v>
      </c>
    </row>
    <row r="95" spans="1:5" hidden="1" outlineLevel="1" x14ac:dyDescent="0.25">
      <c r="A95" t="s">
        <v>153</v>
      </c>
      <c r="B95" t="s">
        <v>48</v>
      </c>
      <c r="C95" t="s">
        <v>154</v>
      </c>
      <c r="E95">
        <v>-6.61</v>
      </c>
    </row>
    <row r="96" spans="1:5" hidden="1" outlineLevel="1" x14ac:dyDescent="0.25">
      <c r="A96" t="s">
        <v>47</v>
      </c>
      <c r="B96" t="s">
        <v>100</v>
      </c>
      <c r="E96">
        <v>-29.3</v>
      </c>
    </row>
    <row r="97" spans="1:5" hidden="1" outlineLevel="1" x14ac:dyDescent="0.25">
      <c r="A97" t="s">
        <v>155</v>
      </c>
      <c r="B97" t="s">
        <v>102</v>
      </c>
      <c r="C97" t="s">
        <v>27</v>
      </c>
      <c r="E97">
        <v>-19.84</v>
      </c>
    </row>
    <row r="98" spans="1:5" hidden="1" outlineLevel="1" x14ac:dyDescent="0.25">
      <c r="A98" t="s">
        <v>156</v>
      </c>
      <c r="B98" t="s">
        <v>106</v>
      </c>
      <c r="C98" t="s">
        <v>3</v>
      </c>
      <c r="E98">
        <v>-2.2799999999999998</v>
      </c>
    </row>
    <row r="99" spans="1:5" hidden="1" outlineLevel="1" x14ac:dyDescent="0.25">
      <c r="A99" t="s">
        <v>157</v>
      </c>
      <c r="B99" t="s">
        <v>158</v>
      </c>
      <c r="C99" t="s">
        <v>3</v>
      </c>
      <c r="E99">
        <v>-1.94</v>
      </c>
    </row>
    <row r="100" spans="1:5" hidden="1" outlineLevel="1" x14ac:dyDescent="0.25">
      <c r="A100" t="s">
        <v>159</v>
      </c>
      <c r="B100" t="s">
        <v>110</v>
      </c>
      <c r="C100" t="s">
        <v>64</v>
      </c>
      <c r="E100">
        <v>-4.75</v>
      </c>
    </row>
    <row r="101" spans="1:5" hidden="1" outlineLevel="1" x14ac:dyDescent="0.25">
      <c r="A101" t="s">
        <v>160</v>
      </c>
      <c r="B101" t="s">
        <v>112</v>
      </c>
      <c r="C101" t="s">
        <v>19</v>
      </c>
      <c r="E101">
        <v>-1.82</v>
      </c>
    </row>
    <row r="102" spans="1:5" hidden="1" outlineLevel="1" x14ac:dyDescent="0.25">
      <c r="A102" t="s">
        <v>161</v>
      </c>
      <c r="B102" t="s">
        <v>59</v>
      </c>
      <c r="C102" t="s">
        <v>19</v>
      </c>
      <c r="E102">
        <v>-5.14</v>
      </c>
    </row>
    <row r="103" spans="1:5" collapsed="1" x14ac:dyDescent="0.25">
      <c r="A103" t="s">
        <v>399</v>
      </c>
    </row>
    <row r="104" spans="1:5" hidden="1" outlineLevel="1" x14ac:dyDescent="0.25">
      <c r="A104" t="s">
        <v>162</v>
      </c>
      <c r="B104" t="s">
        <v>1</v>
      </c>
      <c r="C104" t="s">
        <v>27</v>
      </c>
      <c r="D104" t="s">
        <v>28</v>
      </c>
      <c r="E104">
        <v>-17.13</v>
      </c>
    </row>
    <row r="105" spans="1:5" hidden="1" outlineLevel="1" x14ac:dyDescent="0.25">
      <c r="A105" t="s">
        <v>163</v>
      </c>
      <c r="B105" t="s">
        <v>164</v>
      </c>
      <c r="C105" t="s">
        <v>55</v>
      </c>
      <c r="D105" t="s">
        <v>22</v>
      </c>
      <c r="E105">
        <v>-1.05</v>
      </c>
    </row>
    <row r="106" spans="1:5" hidden="1" outlineLevel="1" x14ac:dyDescent="0.25">
      <c r="A106" t="s">
        <v>165</v>
      </c>
      <c r="B106" t="s">
        <v>166</v>
      </c>
      <c r="C106" t="s">
        <v>12</v>
      </c>
      <c r="D106" t="s">
        <v>22</v>
      </c>
      <c r="E106">
        <v>0.73</v>
      </c>
    </row>
    <row r="107" spans="1:5" hidden="1" outlineLevel="1" x14ac:dyDescent="0.25">
      <c r="A107" t="s">
        <v>167</v>
      </c>
      <c r="B107" t="s">
        <v>30</v>
      </c>
      <c r="C107" t="s">
        <v>64</v>
      </c>
      <c r="E107">
        <v>-0.32</v>
      </c>
    </row>
    <row r="108" spans="1:5" hidden="1" outlineLevel="1" x14ac:dyDescent="0.25">
      <c r="A108" t="s">
        <v>168</v>
      </c>
      <c r="B108" t="s">
        <v>169</v>
      </c>
      <c r="C108" t="s">
        <v>2</v>
      </c>
      <c r="D108" t="s">
        <v>3</v>
      </c>
      <c r="E108">
        <v>0.11</v>
      </c>
    </row>
    <row r="109" spans="1:5" hidden="1" outlineLevel="1" x14ac:dyDescent="0.25">
      <c r="A109" t="s">
        <v>170</v>
      </c>
      <c r="B109" t="s">
        <v>171</v>
      </c>
      <c r="C109" t="s">
        <v>2</v>
      </c>
      <c r="D109" t="s">
        <v>3</v>
      </c>
      <c r="E109">
        <v>0.52</v>
      </c>
    </row>
    <row r="110" spans="1:5" hidden="1" outlineLevel="1" x14ac:dyDescent="0.25">
      <c r="A110" t="s">
        <v>172</v>
      </c>
      <c r="B110" t="s">
        <v>32</v>
      </c>
      <c r="C110" t="s">
        <v>69</v>
      </c>
      <c r="D110" t="s">
        <v>118</v>
      </c>
      <c r="E110">
        <v>5.14</v>
      </c>
    </row>
    <row r="111" spans="1:5" hidden="1" outlineLevel="1" x14ac:dyDescent="0.25">
      <c r="A111" t="s">
        <v>173</v>
      </c>
      <c r="B111" t="s">
        <v>36</v>
      </c>
      <c r="C111" t="s">
        <v>9</v>
      </c>
      <c r="D111" t="s">
        <v>118</v>
      </c>
      <c r="E111">
        <v>-3.88</v>
      </c>
    </row>
    <row r="112" spans="1:5" hidden="1" outlineLevel="1" x14ac:dyDescent="0.25">
      <c r="A112" t="s">
        <v>174</v>
      </c>
      <c r="B112" t="s">
        <v>175</v>
      </c>
      <c r="C112" t="s">
        <v>12</v>
      </c>
      <c r="D112" t="s">
        <v>15</v>
      </c>
      <c r="E112">
        <v>1.18</v>
      </c>
    </row>
    <row r="113" spans="1:5" hidden="1" outlineLevel="1" x14ac:dyDescent="0.25">
      <c r="A113" t="s">
        <v>176</v>
      </c>
      <c r="B113" t="s">
        <v>177</v>
      </c>
      <c r="C113" t="s">
        <v>12</v>
      </c>
      <c r="D113" t="s">
        <v>15</v>
      </c>
      <c r="E113">
        <v>-2.38</v>
      </c>
    </row>
    <row r="114" spans="1:5" hidden="1" outlineLevel="1" x14ac:dyDescent="0.25">
      <c r="A114" t="s">
        <v>178</v>
      </c>
      <c r="B114" t="s">
        <v>44</v>
      </c>
      <c r="C114" t="s">
        <v>69</v>
      </c>
      <c r="D114" t="s">
        <v>118</v>
      </c>
      <c r="E114">
        <v>0.78</v>
      </c>
    </row>
    <row r="115" spans="1:5" hidden="1" outlineLevel="1" x14ac:dyDescent="0.25">
      <c r="A115" t="s">
        <v>179</v>
      </c>
      <c r="B115" t="s">
        <v>46</v>
      </c>
      <c r="C115" t="s">
        <v>9</v>
      </c>
      <c r="D115" t="s">
        <v>118</v>
      </c>
      <c r="E115">
        <v>-0.41</v>
      </c>
    </row>
    <row r="116" spans="1:5" collapsed="1" x14ac:dyDescent="0.25">
      <c r="A116" t="s">
        <v>400</v>
      </c>
    </row>
    <row r="117" spans="1:5" hidden="1" outlineLevel="1" x14ac:dyDescent="0.25">
      <c r="A117" t="s">
        <v>180</v>
      </c>
      <c r="B117" t="s">
        <v>181</v>
      </c>
    </row>
    <row r="118" spans="1:5" hidden="1" outlineLevel="1" x14ac:dyDescent="0.25">
      <c r="A118" t="s">
        <v>182</v>
      </c>
      <c r="B118" t="s">
        <v>122</v>
      </c>
      <c r="C118" t="s">
        <v>118</v>
      </c>
      <c r="E118">
        <v>0.35</v>
      </c>
    </row>
    <row r="119" spans="1:5" hidden="1" outlineLevel="1" x14ac:dyDescent="0.25">
      <c r="A119" t="s">
        <v>183</v>
      </c>
      <c r="B119" t="s">
        <v>184</v>
      </c>
      <c r="C119" t="s">
        <v>3</v>
      </c>
      <c r="E119">
        <v>8.6</v>
      </c>
    </row>
    <row r="120" spans="1:5" hidden="1" outlineLevel="1" x14ac:dyDescent="0.25">
      <c r="A120" t="s">
        <v>185</v>
      </c>
      <c r="B120" t="s">
        <v>186</v>
      </c>
      <c r="C120" t="s">
        <v>187</v>
      </c>
      <c r="E120">
        <v>-0.44</v>
      </c>
    </row>
    <row r="121" spans="1:5" hidden="1" outlineLevel="1" x14ac:dyDescent="0.25">
      <c r="A121" t="s">
        <v>188</v>
      </c>
      <c r="B121" t="s">
        <v>189</v>
      </c>
      <c r="C121" t="s">
        <v>87</v>
      </c>
      <c r="E121">
        <v>3.63</v>
      </c>
    </row>
    <row r="122" spans="1:5" hidden="1" outlineLevel="1" x14ac:dyDescent="0.25">
      <c r="A122" t="s">
        <v>190</v>
      </c>
      <c r="B122" t="s">
        <v>191</v>
      </c>
      <c r="C122" t="s">
        <v>87</v>
      </c>
      <c r="E122">
        <v>-0.95</v>
      </c>
    </row>
    <row r="123" spans="1:5" hidden="1" outlineLevel="1" x14ac:dyDescent="0.25">
      <c r="A123" t="s">
        <v>192</v>
      </c>
      <c r="B123" t="s">
        <v>128</v>
      </c>
      <c r="C123" t="s">
        <v>3</v>
      </c>
      <c r="E123">
        <v>-3.33</v>
      </c>
    </row>
    <row r="124" spans="1:5" collapsed="1" x14ac:dyDescent="0.25">
      <c r="A124" t="s">
        <v>401</v>
      </c>
    </row>
    <row r="125" spans="1:5" hidden="1" outlineLevel="1" x14ac:dyDescent="0.25">
      <c r="A125" t="s">
        <v>193</v>
      </c>
      <c r="B125" t="s">
        <v>134</v>
      </c>
      <c r="C125" t="s">
        <v>194</v>
      </c>
      <c r="E125">
        <v>-0.39</v>
      </c>
    </row>
    <row r="126" spans="1:5" hidden="1" outlineLevel="1" x14ac:dyDescent="0.25">
      <c r="A126" t="s">
        <v>119</v>
      </c>
      <c r="B126" t="s">
        <v>138</v>
      </c>
      <c r="C126" t="s">
        <v>18</v>
      </c>
      <c r="E126">
        <v>0.73</v>
      </c>
    </row>
    <row r="127" spans="1:5" hidden="1" outlineLevel="1" x14ac:dyDescent="0.25">
      <c r="A127" t="s">
        <v>195</v>
      </c>
      <c r="B127" t="s">
        <v>141</v>
      </c>
      <c r="C127" t="s">
        <v>69</v>
      </c>
      <c r="D127" t="s">
        <v>118</v>
      </c>
      <c r="E127">
        <v>0.38</v>
      </c>
    </row>
    <row r="128" spans="1:5" hidden="1" outlineLevel="1" x14ac:dyDescent="0.25">
      <c r="A128" t="s">
        <v>196</v>
      </c>
      <c r="B128" t="s">
        <v>143</v>
      </c>
      <c r="C128" t="s">
        <v>69</v>
      </c>
      <c r="D128" t="s">
        <v>118</v>
      </c>
      <c r="E128">
        <v>0.89</v>
      </c>
    </row>
    <row r="129" spans="1:5" hidden="1" outlineLevel="1" x14ac:dyDescent="0.25">
      <c r="A129" t="s">
        <v>197</v>
      </c>
      <c r="B129" t="s">
        <v>198</v>
      </c>
      <c r="C129" t="s">
        <v>9</v>
      </c>
      <c r="D129" t="s">
        <v>19</v>
      </c>
      <c r="E129">
        <v>-0.76</v>
      </c>
    </row>
    <row r="130" spans="1:5" hidden="1" outlineLevel="1" x14ac:dyDescent="0.25">
      <c r="A130" t="s">
        <v>199</v>
      </c>
      <c r="B130" t="s">
        <v>200</v>
      </c>
      <c r="C130" t="s">
        <v>69</v>
      </c>
      <c r="D130" t="s">
        <v>19</v>
      </c>
      <c r="E130">
        <v>-0.32</v>
      </c>
    </row>
    <row r="131" spans="1:5" hidden="1" outlineLevel="1" x14ac:dyDescent="0.25">
      <c r="A131" t="s">
        <v>201</v>
      </c>
      <c r="B131" t="s">
        <v>202</v>
      </c>
      <c r="C131" t="s">
        <v>152</v>
      </c>
      <c r="D131" t="s">
        <v>9</v>
      </c>
      <c r="E131">
        <v>1.05</v>
      </c>
    </row>
    <row r="132" spans="1:5" hidden="1" outlineLevel="1" x14ac:dyDescent="0.25">
      <c r="A132" t="s">
        <v>203</v>
      </c>
      <c r="B132" t="s">
        <v>150</v>
      </c>
      <c r="C132" t="s">
        <v>118</v>
      </c>
      <c r="D132" t="s">
        <v>9</v>
      </c>
      <c r="E132">
        <v>1.46</v>
      </c>
    </row>
    <row r="133" spans="1:5" hidden="1" outlineLevel="1" x14ac:dyDescent="0.25">
      <c r="A133" t="s">
        <v>204</v>
      </c>
      <c r="B133" t="s">
        <v>205</v>
      </c>
      <c r="C133" t="s">
        <v>37</v>
      </c>
      <c r="D133" t="s">
        <v>206</v>
      </c>
      <c r="E133">
        <v>-4.55</v>
      </c>
    </row>
    <row r="134" spans="1:5" hidden="1" outlineLevel="1" x14ac:dyDescent="0.25">
      <c r="A134" t="s">
        <v>207</v>
      </c>
      <c r="B134" t="s">
        <v>61</v>
      </c>
      <c r="C134" t="s">
        <v>27</v>
      </c>
      <c r="D134" t="s">
        <v>28</v>
      </c>
      <c r="E134">
        <v>-0.4</v>
      </c>
    </row>
    <row r="135" spans="1:5" hidden="1" outlineLevel="1" x14ac:dyDescent="0.25">
      <c r="A135" t="s">
        <v>208</v>
      </c>
      <c r="B135" t="s">
        <v>63</v>
      </c>
      <c r="C135" t="s">
        <v>12</v>
      </c>
      <c r="D135" t="s">
        <v>28</v>
      </c>
      <c r="E135">
        <v>-0.64</v>
      </c>
    </row>
    <row r="136" spans="1:5" hidden="1" outlineLevel="1" x14ac:dyDescent="0.25">
      <c r="A136" t="s">
        <v>209</v>
      </c>
      <c r="B136" t="s">
        <v>210</v>
      </c>
      <c r="C136" t="s">
        <v>37</v>
      </c>
      <c r="D136" t="s">
        <v>206</v>
      </c>
      <c r="E136">
        <v>2.85</v>
      </c>
    </row>
    <row r="137" spans="1:5" hidden="1" outlineLevel="1" x14ac:dyDescent="0.25">
      <c r="A137" t="s">
        <v>211</v>
      </c>
      <c r="B137" t="s">
        <v>212</v>
      </c>
      <c r="C137" t="s">
        <v>37</v>
      </c>
      <c r="D137" t="s">
        <v>206</v>
      </c>
      <c r="E137">
        <v>1.99</v>
      </c>
    </row>
    <row r="138" spans="1:5" hidden="1" outlineLevel="1" x14ac:dyDescent="0.25">
      <c r="A138" t="s">
        <v>213</v>
      </c>
      <c r="B138" t="s">
        <v>214</v>
      </c>
      <c r="C138" t="s">
        <v>118</v>
      </c>
      <c r="D138" t="s">
        <v>22</v>
      </c>
      <c r="E138">
        <v>-0.26</v>
      </c>
    </row>
    <row r="139" spans="1:5" hidden="1" outlineLevel="1" x14ac:dyDescent="0.25">
      <c r="A139" t="s">
        <v>215</v>
      </c>
      <c r="B139" t="s">
        <v>216</v>
      </c>
      <c r="C139" t="s">
        <v>87</v>
      </c>
      <c r="D139" t="s">
        <v>22</v>
      </c>
      <c r="E139">
        <v>7.0000000000000007E-2</v>
      </c>
    </row>
    <row r="140" spans="1:5" hidden="1" outlineLevel="1" x14ac:dyDescent="0.25">
      <c r="A140" t="s">
        <v>217</v>
      </c>
      <c r="B140" t="s">
        <v>79</v>
      </c>
      <c r="C140" t="s">
        <v>37</v>
      </c>
      <c r="D140" t="s">
        <v>206</v>
      </c>
      <c r="E140">
        <v>-2.48</v>
      </c>
    </row>
    <row r="141" spans="1:5" hidden="1" outlineLevel="1" x14ac:dyDescent="0.25">
      <c r="A141" t="s">
        <v>218</v>
      </c>
      <c r="B141" t="s">
        <v>81</v>
      </c>
      <c r="C141" t="s">
        <v>37</v>
      </c>
      <c r="D141" t="s">
        <v>206</v>
      </c>
      <c r="E141">
        <v>-1.64</v>
      </c>
    </row>
    <row r="142" spans="1:5" hidden="1" outlineLevel="1" x14ac:dyDescent="0.25">
      <c r="A142" t="s">
        <v>219</v>
      </c>
      <c r="B142" t="s">
        <v>220</v>
      </c>
      <c r="C142" t="s">
        <v>37</v>
      </c>
      <c r="D142" t="s">
        <v>206</v>
      </c>
      <c r="E142">
        <v>-3.79</v>
      </c>
    </row>
    <row r="143" spans="1:5" hidden="1" outlineLevel="1" x14ac:dyDescent="0.25">
      <c r="A143" t="s">
        <v>221</v>
      </c>
      <c r="B143" t="s">
        <v>222</v>
      </c>
      <c r="C143" t="s">
        <v>37</v>
      </c>
      <c r="D143" t="s">
        <v>206</v>
      </c>
      <c r="E143">
        <v>1.1000000000000001</v>
      </c>
    </row>
    <row r="144" spans="1:5" hidden="1" outlineLevel="1" x14ac:dyDescent="0.25">
      <c r="A144" t="s">
        <v>223</v>
      </c>
      <c r="B144" t="s">
        <v>86</v>
      </c>
      <c r="C144" t="s">
        <v>37</v>
      </c>
      <c r="D144" t="s">
        <v>206</v>
      </c>
      <c r="E144">
        <v>-0.57999999999999996</v>
      </c>
    </row>
    <row r="145" spans="1:5" hidden="1" outlineLevel="1" x14ac:dyDescent="0.25">
      <c r="A145" t="s">
        <v>224</v>
      </c>
      <c r="B145" t="s">
        <v>89</v>
      </c>
      <c r="C145" t="s">
        <v>37</v>
      </c>
      <c r="D145" t="s">
        <v>206</v>
      </c>
      <c r="E145">
        <v>3.91</v>
      </c>
    </row>
    <row r="146" spans="1:5" hidden="1" outlineLevel="1" x14ac:dyDescent="0.25">
      <c r="A146" t="s">
        <v>225</v>
      </c>
      <c r="B146" t="s">
        <v>226</v>
      </c>
      <c r="C146" t="s">
        <v>37</v>
      </c>
      <c r="D146" t="s">
        <v>206</v>
      </c>
      <c r="E146">
        <v>0.52</v>
      </c>
    </row>
    <row r="147" spans="1:5" hidden="1" outlineLevel="1" x14ac:dyDescent="0.25">
      <c r="A147" t="s">
        <v>227</v>
      </c>
      <c r="B147" t="s">
        <v>228</v>
      </c>
      <c r="C147" t="s">
        <v>37</v>
      </c>
      <c r="D147" t="s">
        <v>206</v>
      </c>
      <c r="E147">
        <v>7.4</v>
      </c>
    </row>
    <row r="148" spans="1:5" collapsed="1" x14ac:dyDescent="0.25">
      <c r="A148" t="s">
        <v>402</v>
      </c>
    </row>
    <row r="149" spans="1:5" hidden="1" outlineLevel="1" x14ac:dyDescent="0.25">
      <c r="A149" t="s">
        <v>229</v>
      </c>
      <c r="B149" t="s">
        <v>117</v>
      </c>
      <c r="C149" t="s">
        <v>9</v>
      </c>
      <c r="D149" t="s">
        <v>19</v>
      </c>
      <c r="E149">
        <v>-1.05</v>
      </c>
    </row>
    <row r="150" spans="1:5" hidden="1" outlineLevel="1" x14ac:dyDescent="0.25">
      <c r="A150" t="s">
        <v>230</v>
      </c>
      <c r="B150" t="s">
        <v>120</v>
      </c>
      <c r="C150" t="s">
        <v>22</v>
      </c>
      <c r="D150" t="s">
        <v>19</v>
      </c>
      <c r="E150">
        <v>-1.1299999999999999</v>
      </c>
    </row>
    <row r="151" spans="1:5" hidden="1" outlineLevel="1" x14ac:dyDescent="0.25">
      <c r="A151" t="s">
        <v>231</v>
      </c>
      <c r="B151" t="s">
        <v>232</v>
      </c>
      <c r="C151" t="s">
        <v>9</v>
      </c>
      <c r="D151" t="s">
        <v>19</v>
      </c>
      <c r="E151">
        <v>-1.26</v>
      </c>
    </row>
    <row r="152" spans="1:5" hidden="1" outlineLevel="1" x14ac:dyDescent="0.25">
      <c r="A152" t="s">
        <v>233</v>
      </c>
      <c r="B152" t="s">
        <v>234</v>
      </c>
      <c r="C152" t="s">
        <v>27</v>
      </c>
      <c r="D152" t="s">
        <v>19</v>
      </c>
      <c r="E152">
        <v>-2.94</v>
      </c>
    </row>
    <row r="153" spans="1:5" hidden="1" outlineLevel="1" x14ac:dyDescent="0.25">
      <c r="A153" t="s">
        <v>235</v>
      </c>
      <c r="B153" t="s">
        <v>236</v>
      </c>
      <c r="C153" t="s">
        <v>237</v>
      </c>
      <c r="D153" t="s">
        <v>19</v>
      </c>
      <c r="E153">
        <v>-7.77</v>
      </c>
    </row>
    <row r="154" spans="1:5" hidden="1" outlineLevel="1" x14ac:dyDescent="0.25">
      <c r="A154" t="s">
        <v>238</v>
      </c>
      <c r="B154" t="s">
        <v>239</v>
      </c>
      <c r="C154" t="s">
        <v>2</v>
      </c>
      <c r="D154" t="s">
        <v>19</v>
      </c>
      <c r="E154">
        <v>-6.94</v>
      </c>
    </row>
    <row r="155" spans="1:5" hidden="1" outlineLevel="1" x14ac:dyDescent="0.25">
      <c r="A155" t="s">
        <v>240</v>
      </c>
      <c r="B155" t="s">
        <v>184</v>
      </c>
      <c r="C155" t="s">
        <v>19</v>
      </c>
      <c r="E155">
        <v>6.3</v>
      </c>
    </row>
    <row r="156" spans="1:5" hidden="1" outlineLevel="1" x14ac:dyDescent="0.25">
      <c r="A156" t="s">
        <v>241</v>
      </c>
      <c r="B156" t="s">
        <v>242</v>
      </c>
      <c r="C156" t="s">
        <v>22</v>
      </c>
      <c r="D156" t="s">
        <v>87</v>
      </c>
      <c r="E156">
        <v>-3.64</v>
      </c>
    </row>
    <row r="157" spans="1:5" hidden="1" outlineLevel="1" x14ac:dyDescent="0.25">
      <c r="A157" t="s">
        <v>243</v>
      </c>
      <c r="B157" t="s">
        <v>186</v>
      </c>
      <c r="C157" t="s">
        <v>9</v>
      </c>
      <c r="D157" t="s">
        <v>87</v>
      </c>
      <c r="E157">
        <v>-0.46</v>
      </c>
    </row>
    <row r="158" spans="1:5" hidden="1" outlineLevel="1" x14ac:dyDescent="0.25">
      <c r="A158" t="s">
        <v>244</v>
      </c>
      <c r="B158" t="s">
        <v>126</v>
      </c>
      <c r="C158" t="s">
        <v>118</v>
      </c>
      <c r="E158">
        <v>3.87</v>
      </c>
    </row>
    <row r="159" spans="1:5" hidden="1" outlineLevel="1" x14ac:dyDescent="0.25">
      <c r="A159" t="s">
        <v>245</v>
      </c>
      <c r="B159" t="s">
        <v>246</v>
      </c>
      <c r="C159" t="s">
        <v>69</v>
      </c>
      <c r="D159" t="s">
        <v>118</v>
      </c>
      <c r="E159">
        <v>-2.39</v>
      </c>
    </row>
    <row r="160" spans="1:5" hidden="1" outlineLevel="1" x14ac:dyDescent="0.25">
      <c r="A160" t="s">
        <v>247</v>
      </c>
      <c r="B160" t="s">
        <v>191</v>
      </c>
      <c r="C160" t="s">
        <v>69</v>
      </c>
      <c r="D160" t="s">
        <v>118</v>
      </c>
      <c r="E160">
        <v>-3.11</v>
      </c>
    </row>
    <row r="161" spans="1:5" collapsed="1" x14ac:dyDescent="0.25">
      <c r="A161" t="s">
        <v>403</v>
      </c>
    </row>
    <row r="162" spans="1:5" hidden="1" outlineLevel="1" x14ac:dyDescent="0.25">
      <c r="A162" t="s">
        <v>248</v>
      </c>
      <c r="B162" t="s">
        <v>97</v>
      </c>
      <c r="C162" t="s">
        <v>33</v>
      </c>
      <c r="D162" t="s">
        <v>34</v>
      </c>
      <c r="E162">
        <v>-0.48</v>
      </c>
    </row>
    <row r="163" spans="1:5" hidden="1" outlineLevel="1" x14ac:dyDescent="0.25">
      <c r="A163" t="s">
        <v>249</v>
      </c>
      <c r="B163" t="s">
        <v>250</v>
      </c>
      <c r="C163" t="s">
        <v>37</v>
      </c>
      <c r="D163" t="s">
        <v>206</v>
      </c>
      <c r="E163">
        <v>-0.69</v>
      </c>
    </row>
    <row r="164" spans="1:5" hidden="1" outlineLevel="1" x14ac:dyDescent="0.25">
      <c r="A164" t="s">
        <v>251</v>
      </c>
      <c r="B164" t="s">
        <v>252</v>
      </c>
      <c r="C164" t="s">
        <v>37</v>
      </c>
      <c r="D164" t="s">
        <v>206</v>
      </c>
      <c r="E164">
        <v>-0.56999999999999995</v>
      </c>
    </row>
    <row r="165" spans="1:5" hidden="1" outlineLevel="1" x14ac:dyDescent="0.25">
      <c r="A165" t="s">
        <v>253</v>
      </c>
      <c r="B165" t="s">
        <v>254</v>
      </c>
      <c r="C165" t="s">
        <v>37</v>
      </c>
      <c r="D165" t="s">
        <v>206</v>
      </c>
      <c r="E165">
        <v>-3.6</v>
      </c>
    </row>
    <row r="166" spans="1:5" hidden="1" outlineLevel="1" x14ac:dyDescent="0.25">
      <c r="A166" t="s">
        <v>253</v>
      </c>
      <c r="B166" t="s">
        <v>255</v>
      </c>
      <c r="C166" t="s">
        <v>37</v>
      </c>
      <c r="D166" t="s">
        <v>206</v>
      </c>
      <c r="E166">
        <v>-3.6</v>
      </c>
    </row>
    <row r="167" spans="1:5" hidden="1" outlineLevel="1" x14ac:dyDescent="0.25">
      <c r="A167" t="s">
        <v>256</v>
      </c>
      <c r="B167" t="s">
        <v>257</v>
      </c>
      <c r="C167" t="s">
        <v>33</v>
      </c>
      <c r="D167" t="s">
        <v>34</v>
      </c>
      <c r="E167">
        <v>-2.61</v>
      </c>
    </row>
    <row r="168" spans="1:5" hidden="1" outlineLevel="1" x14ac:dyDescent="0.25">
      <c r="A168" t="s">
        <v>258</v>
      </c>
      <c r="B168" t="s">
        <v>52</v>
      </c>
      <c r="C168" t="s">
        <v>33</v>
      </c>
      <c r="D168" t="s">
        <v>34</v>
      </c>
      <c r="E168">
        <v>-2.4300000000000002</v>
      </c>
    </row>
    <row r="169" spans="1:5" hidden="1" outlineLevel="1" x14ac:dyDescent="0.25">
      <c r="A169" t="s">
        <v>259</v>
      </c>
      <c r="B169" t="s">
        <v>260</v>
      </c>
      <c r="C169" t="s">
        <v>37</v>
      </c>
      <c r="D169" t="s">
        <v>206</v>
      </c>
      <c r="E169">
        <v>1.86</v>
      </c>
    </row>
    <row r="170" spans="1:5" hidden="1" outlineLevel="1" x14ac:dyDescent="0.25">
      <c r="A170" t="s">
        <v>261</v>
      </c>
      <c r="B170" t="s">
        <v>158</v>
      </c>
      <c r="C170" t="s">
        <v>37</v>
      </c>
      <c r="D170" t="s">
        <v>206</v>
      </c>
      <c r="E170">
        <v>0.42</v>
      </c>
    </row>
    <row r="171" spans="1:5" hidden="1" outlineLevel="1" x14ac:dyDescent="0.25">
      <c r="A171" t="s">
        <v>262</v>
      </c>
      <c r="B171" t="s">
        <v>108</v>
      </c>
      <c r="C171" t="s">
        <v>33</v>
      </c>
      <c r="D171" t="s">
        <v>34</v>
      </c>
      <c r="E171">
        <v>-16.68</v>
      </c>
    </row>
    <row r="172" spans="1:5" hidden="1" outlineLevel="1" x14ac:dyDescent="0.25">
      <c r="A172" t="s">
        <v>263</v>
      </c>
      <c r="B172" t="s">
        <v>54</v>
      </c>
      <c r="C172" t="s">
        <v>37</v>
      </c>
      <c r="D172" t="s">
        <v>34</v>
      </c>
      <c r="E172">
        <v>-10.61</v>
      </c>
    </row>
    <row r="173" spans="1:5" hidden="1" outlineLevel="1" x14ac:dyDescent="0.25">
      <c r="A173" t="s">
        <v>264</v>
      </c>
      <c r="B173" t="s">
        <v>265</v>
      </c>
      <c r="C173" t="s">
        <v>33</v>
      </c>
      <c r="D173" t="s">
        <v>34</v>
      </c>
      <c r="E173">
        <v>-12.48</v>
      </c>
    </row>
    <row r="174" spans="1:5" hidden="1" outlineLevel="1" x14ac:dyDescent="0.25">
      <c r="A174" t="s">
        <v>266</v>
      </c>
      <c r="B174" t="s">
        <v>110</v>
      </c>
      <c r="C174" t="s">
        <v>33</v>
      </c>
      <c r="D174" t="s">
        <v>34</v>
      </c>
      <c r="E174">
        <v>-11.05</v>
      </c>
    </row>
    <row r="175" spans="1:5" hidden="1" outlineLevel="1" x14ac:dyDescent="0.25">
      <c r="A175" t="s">
        <v>267</v>
      </c>
      <c r="B175" t="s">
        <v>268</v>
      </c>
      <c r="C175" t="s">
        <v>37</v>
      </c>
      <c r="D175" t="s">
        <v>206</v>
      </c>
      <c r="E175">
        <v>-1.08</v>
      </c>
    </row>
    <row r="176" spans="1:5" hidden="1" outlineLevel="1" x14ac:dyDescent="0.25">
      <c r="A176" t="s">
        <v>269</v>
      </c>
      <c r="B176" t="s">
        <v>112</v>
      </c>
      <c r="C176" t="s">
        <v>37</v>
      </c>
      <c r="D176" t="s">
        <v>206</v>
      </c>
      <c r="E176">
        <v>-0.67</v>
      </c>
    </row>
    <row r="177" spans="1:5" collapsed="1" x14ac:dyDescent="0.25">
      <c r="A177" t="s">
        <v>404</v>
      </c>
    </row>
    <row r="178" spans="1:5" hidden="1" outlineLevel="1" x14ac:dyDescent="0.25">
      <c r="A178" t="s">
        <v>270</v>
      </c>
      <c r="B178" t="s">
        <v>271</v>
      </c>
      <c r="C178" t="s">
        <v>12</v>
      </c>
      <c r="D178" t="s">
        <v>15</v>
      </c>
      <c r="E178">
        <v>-21.98</v>
      </c>
    </row>
    <row r="179" spans="1:5" hidden="1" outlineLevel="1" x14ac:dyDescent="0.25">
      <c r="A179" t="s">
        <v>272</v>
      </c>
      <c r="B179" t="s">
        <v>273</v>
      </c>
      <c r="C179" t="s">
        <v>22</v>
      </c>
      <c r="D179" t="s">
        <v>87</v>
      </c>
      <c r="E179">
        <v>-9</v>
      </c>
    </row>
    <row r="180" spans="1:5" hidden="1" outlineLevel="1" x14ac:dyDescent="0.25">
      <c r="A180" t="s">
        <v>274</v>
      </c>
      <c r="B180" t="s">
        <v>275</v>
      </c>
      <c r="C180" t="s">
        <v>22</v>
      </c>
      <c r="D180" t="s">
        <v>87</v>
      </c>
      <c r="E180">
        <v>-3.71</v>
      </c>
    </row>
    <row r="181" spans="1:5" hidden="1" outlineLevel="1" x14ac:dyDescent="0.25">
      <c r="A181" t="s">
        <v>276</v>
      </c>
      <c r="B181" t="s">
        <v>277</v>
      </c>
      <c r="C181" t="s">
        <v>69</v>
      </c>
      <c r="D181" t="s">
        <v>118</v>
      </c>
      <c r="E181">
        <v>-2.6</v>
      </c>
    </row>
    <row r="182" spans="1:5" hidden="1" outlineLevel="1" x14ac:dyDescent="0.25">
      <c r="A182" t="s">
        <v>278</v>
      </c>
      <c r="B182" t="s">
        <v>184</v>
      </c>
      <c r="C182" t="s">
        <v>9</v>
      </c>
      <c r="D182" t="s">
        <v>118</v>
      </c>
      <c r="E182">
        <v>-2.62</v>
      </c>
    </row>
    <row r="183" spans="1:5" hidden="1" outlineLevel="1" x14ac:dyDescent="0.25">
      <c r="A183" t="s">
        <v>279</v>
      </c>
      <c r="B183" t="s">
        <v>124</v>
      </c>
      <c r="C183" t="s">
        <v>87</v>
      </c>
      <c r="E183">
        <v>-11.26</v>
      </c>
    </row>
    <row r="184" spans="1:5" hidden="1" outlineLevel="1" x14ac:dyDescent="0.25">
      <c r="A184" t="s">
        <v>280</v>
      </c>
      <c r="B184" t="s">
        <v>281</v>
      </c>
    </row>
    <row r="185" spans="1:5" hidden="1" outlineLevel="1" x14ac:dyDescent="0.25">
      <c r="A185" t="s">
        <v>282</v>
      </c>
      <c r="B185" t="s">
        <v>283</v>
      </c>
      <c r="C185" t="s">
        <v>2</v>
      </c>
      <c r="D185" t="s">
        <v>3</v>
      </c>
      <c r="E185">
        <v>-10.38</v>
      </c>
    </row>
    <row r="186" spans="1:5" hidden="1" outlineLevel="1" x14ac:dyDescent="0.25">
      <c r="A186" t="s">
        <v>284</v>
      </c>
      <c r="B186" t="s">
        <v>285</v>
      </c>
      <c r="C186" t="s">
        <v>22</v>
      </c>
      <c r="D186" t="s">
        <v>3</v>
      </c>
      <c r="E186">
        <v>-6.78</v>
      </c>
    </row>
    <row r="187" spans="1:5" hidden="1" outlineLevel="1" x14ac:dyDescent="0.25">
      <c r="A187" t="s">
        <v>286</v>
      </c>
      <c r="B187" t="s">
        <v>128</v>
      </c>
      <c r="C187" t="s">
        <v>82</v>
      </c>
      <c r="E187">
        <v>1.21</v>
      </c>
    </row>
    <row r="188" spans="1:5" collapsed="1" x14ac:dyDescent="0.25">
      <c r="A188" t="s">
        <v>405</v>
      </c>
    </row>
    <row r="189" spans="1:5" hidden="1" outlineLevel="1" x14ac:dyDescent="0.25">
      <c r="A189" t="s">
        <v>287</v>
      </c>
      <c r="B189" t="s">
        <v>288</v>
      </c>
      <c r="C189" t="s">
        <v>12</v>
      </c>
      <c r="D189" t="s">
        <v>15</v>
      </c>
      <c r="E189">
        <v>2.2799999999999998</v>
      </c>
    </row>
    <row r="190" spans="1:5" hidden="1" outlineLevel="1" x14ac:dyDescent="0.25">
      <c r="A190" t="s">
        <v>289</v>
      </c>
      <c r="B190" t="s">
        <v>290</v>
      </c>
      <c r="C190" t="s">
        <v>118</v>
      </c>
      <c r="D190" t="s">
        <v>15</v>
      </c>
      <c r="E190">
        <v>2.71</v>
      </c>
    </row>
    <row r="191" spans="1:5" hidden="1" outlineLevel="1" x14ac:dyDescent="0.25">
      <c r="A191" t="s">
        <v>291</v>
      </c>
      <c r="B191" t="s">
        <v>132</v>
      </c>
      <c r="C191" t="s">
        <v>118</v>
      </c>
      <c r="D191" t="s">
        <v>22</v>
      </c>
      <c r="E191">
        <v>1.25</v>
      </c>
    </row>
    <row r="192" spans="1:5" hidden="1" outlineLevel="1" x14ac:dyDescent="0.25">
      <c r="A192" t="s">
        <v>292</v>
      </c>
      <c r="B192" t="s">
        <v>134</v>
      </c>
      <c r="C192" t="s">
        <v>2</v>
      </c>
      <c r="D192" t="s">
        <v>22</v>
      </c>
      <c r="E192">
        <v>1.71</v>
      </c>
    </row>
    <row r="193" spans="1:5" hidden="1" outlineLevel="1" x14ac:dyDescent="0.25">
      <c r="A193" t="s">
        <v>293</v>
      </c>
      <c r="B193" t="s">
        <v>138</v>
      </c>
      <c r="C193" t="s">
        <v>15</v>
      </c>
      <c r="E193">
        <v>1.22</v>
      </c>
    </row>
    <row r="194" spans="1:5" hidden="1" outlineLevel="1" x14ac:dyDescent="0.25">
      <c r="A194" t="s">
        <v>294</v>
      </c>
      <c r="B194" t="s">
        <v>295</v>
      </c>
      <c r="C194" t="s">
        <v>28</v>
      </c>
      <c r="D194" t="s">
        <v>33</v>
      </c>
      <c r="E194">
        <v>1.07</v>
      </c>
    </row>
    <row r="195" spans="1:5" hidden="1" outlineLevel="1" x14ac:dyDescent="0.25">
      <c r="A195" t="s">
        <v>296</v>
      </c>
      <c r="B195" t="s">
        <v>297</v>
      </c>
      <c r="C195" t="s">
        <v>3</v>
      </c>
      <c r="D195" t="s">
        <v>33</v>
      </c>
      <c r="E195">
        <v>1.0900000000000001</v>
      </c>
    </row>
    <row r="196" spans="1:5" hidden="1" outlineLevel="1" x14ac:dyDescent="0.25">
      <c r="A196" t="s">
        <v>298</v>
      </c>
      <c r="B196" t="s">
        <v>145</v>
      </c>
      <c r="C196" t="s">
        <v>33</v>
      </c>
      <c r="D196" t="s">
        <v>34</v>
      </c>
      <c r="E196">
        <v>0.83</v>
      </c>
    </row>
    <row r="197" spans="1:5" hidden="1" outlineLevel="1" x14ac:dyDescent="0.25">
      <c r="A197" t="s">
        <v>299</v>
      </c>
      <c r="B197" t="s">
        <v>147</v>
      </c>
      <c r="C197" t="s">
        <v>12</v>
      </c>
      <c r="D197" t="s">
        <v>34</v>
      </c>
      <c r="E197">
        <v>1.79</v>
      </c>
    </row>
    <row r="198" spans="1:5" hidden="1" outlineLevel="1" x14ac:dyDescent="0.25">
      <c r="A198" t="s">
        <v>300</v>
      </c>
      <c r="B198" t="s">
        <v>301</v>
      </c>
      <c r="C198" t="s">
        <v>3</v>
      </c>
      <c r="E198">
        <v>2.37</v>
      </c>
    </row>
    <row r="199" spans="1:5" hidden="1" outlineLevel="1" x14ac:dyDescent="0.25">
      <c r="A199" t="s">
        <v>302</v>
      </c>
      <c r="B199" t="s">
        <v>303</v>
      </c>
      <c r="C199" t="s">
        <v>12</v>
      </c>
      <c r="D199" t="s">
        <v>15</v>
      </c>
      <c r="E199">
        <v>2.14</v>
      </c>
    </row>
    <row r="200" spans="1:5" hidden="1" outlineLevel="1" x14ac:dyDescent="0.25">
      <c r="A200" t="s">
        <v>304</v>
      </c>
      <c r="B200" t="s">
        <v>305</v>
      </c>
      <c r="C200" t="s">
        <v>12</v>
      </c>
      <c r="D200" t="s">
        <v>15</v>
      </c>
      <c r="E200">
        <v>4.78</v>
      </c>
    </row>
    <row r="201" spans="1:5" hidden="1" outlineLevel="1" x14ac:dyDescent="0.25">
      <c r="A201" t="s">
        <v>148</v>
      </c>
      <c r="B201" t="s">
        <v>200</v>
      </c>
    </row>
    <row r="202" spans="1:5" collapsed="1" x14ac:dyDescent="0.25">
      <c r="A202" t="s">
        <v>406</v>
      </c>
    </row>
    <row r="203" spans="1:5" hidden="1" outlineLevel="1" x14ac:dyDescent="0.25">
      <c r="A203" t="s">
        <v>306</v>
      </c>
      <c r="B203" t="s">
        <v>97</v>
      </c>
      <c r="C203" t="s">
        <v>2</v>
      </c>
      <c r="D203" t="s">
        <v>3</v>
      </c>
      <c r="E203">
        <v>-42.32</v>
      </c>
    </row>
    <row r="204" spans="1:5" hidden="1" outlineLevel="1" x14ac:dyDescent="0.25">
      <c r="A204" t="s">
        <v>307</v>
      </c>
      <c r="B204" t="s">
        <v>250</v>
      </c>
      <c r="C204" t="s">
        <v>69</v>
      </c>
      <c r="D204" t="s">
        <v>118</v>
      </c>
      <c r="E204">
        <v>0.28000000000000003</v>
      </c>
    </row>
    <row r="205" spans="1:5" hidden="1" outlineLevel="1" x14ac:dyDescent="0.25">
      <c r="A205" t="s">
        <v>308</v>
      </c>
      <c r="B205" t="s">
        <v>252</v>
      </c>
      <c r="C205" t="s">
        <v>9</v>
      </c>
      <c r="D205" t="s">
        <v>118</v>
      </c>
      <c r="E205">
        <v>-0.24</v>
      </c>
    </row>
    <row r="206" spans="1:5" hidden="1" outlineLevel="1" x14ac:dyDescent="0.25">
      <c r="A206" t="s">
        <v>20</v>
      </c>
      <c r="B206" t="s">
        <v>309</v>
      </c>
      <c r="C206" t="s">
        <v>37</v>
      </c>
      <c r="D206" t="s">
        <v>206</v>
      </c>
      <c r="E206">
        <v>-1.89</v>
      </c>
    </row>
    <row r="207" spans="1:5" hidden="1" outlineLevel="1" x14ac:dyDescent="0.25">
      <c r="A207" t="s">
        <v>310</v>
      </c>
      <c r="B207" t="s">
        <v>50</v>
      </c>
      <c r="C207" t="s">
        <v>33</v>
      </c>
      <c r="D207" t="s">
        <v>206</v>
      </c>
      <c r="E207">
        <v>-1.52</v>
      </c>
    </row>
    <row r="208" spans="1:5" hidden="1" outlineLevel="1" x14ac:dyDescent="0.25">
      <c r="A208" t="s">
        <v>311</v>
      </c>
      <c r="B208" t="s">
        <v>312</v>
      </c>
      <c r="E208">
        <v>0.3</v>
      </c>
    </row>
    <row r="209" spans="1:5" hidden="1" outlineLevel="1" x14ac:dyDescent="0.25">
      <c r="A209" t="s">
        <v>313</v>
      </c>
      <c r="B209" t="s">
        <v>257</v>
      </c>
      <c r="C209" t="s">
        <v>12</v>
      </c>
      <c r="D209" t="s">
        <v>15</v>
      </c>
      <c r="E209">
        <v>-0.55000000000000004</v>
      </c>
    </row>
    <row r="210" spans="1:5" hidden="1" outlineLevel="1" x14ac:dyDescent="0.25">
      <c r="A210" t="s">
        <v>314</v>
      </c>
      <c r="B210" t="s">
        <v>52</v>
      </c>
      <c r="C210" t="s">
        <v>27</v>
      </c>
      <c r="D210" t="s">
        <v>15</v>
      </c>
      <c r="E210">
        <v>-0.62</v>
      </c>
    </row>
    <row r="211" spans="1:5" hidden="1" outlineLevel="1" x14ac:dyDescent="0.25">
      <c r="A211" t="s">
        <v>315</v>
      </c>
      <c r="B211" t="s">
        <v>104</v>
      </c>
      <c r="C211" t="s">
        <v>37</v>
      </c>
      <c r="D211" t="s">
        <v>206</v>
      </c>
      <c r="E211">
        <v>-5.31</v>
      </c>
    </row>
    <row r="212" spans="1:5" hidden="1" outlineLevel="1" x14ac:dyDescent="0.25">
      <c r="A212" t="s">
        <v>316</v>
      </c>
      <c r="B212" t="s">
        <v>106</v>
      </c>
      <c r="C212" t="s">
        <v>37</v>
      </c>
      <c r="D212" t="s">
        <v>206</v>
      </c>
      <c r="E212">
        <v>-3.4</v>
      </c>
    </row>
    <row r="213" spans="1:5" hidden="1" outlineLevel="1" x14ac:dyDescent="0.25">
      <c r="A213" t="s">
        <v>317</v>
      </c>
      <c r="B213" t="s">
        <v>260</v>
      </c>
      <c r="C213" t="s">
        <v>33</v>
      </c>
      <c r="D213" t="s">
        <v>34</v>
      </c>
      <c r="E213">
        <v>0.61</v>
      </c>
    </row>
    <row r="214" spans="1:5" hidden="1" outlineLevel="1" x14ac:dyDescent="0.25">
      <c r="A214" t="s">
        <v>318</v>
      </c>
      <c r="B214" t="s">
        <v>158</v>
      </c>
      <c r="C214" t="s">
        <v>33</v>
      </c>
      <c r="D214" t="s">
        <v>34</v>
      </c>
      <c r="E214">
        <v>1.05</v>
      </c>
    </row>
    <row r="215" spans="1:5" hidden="1" outlineLevel="1" x14ac:dyDescent="0.25">
      <c r="A215" t="s">
        <v>319</v>
      </c>
      <c r="B215" t="s">
        <v>320</v>
      </c>
      <c r="E215">
        <v>0.54</v>
      </c>
    </row>
    <row r="216" spans="1:5" hidden="1" outlineLevel="1" x14ac:dyDescent="0.25">
      <c r="A216" t="s">
        <v>321</v>
      </c>
      <c r="B216" t="s">
        <v>322</v>
      </c>
      <c r="C216" t="s">
        <v>33</v>
      </c>
      <c r="D216" t="s">
        <v>34</v>
      </c>
      <c r="E216">
        <v>-1.73</v>
      </c>
    </row>
    <row r="217" spans="1:5" hidden="1" outlineLevel="1" x14ac:dyDescent="0.25">
      <c r="A217" t="s">
        <v>323</v>
      </c>
      <c r="B217" t="s">
        <v>57</v>
      </c>
      <c r="C217" t="s">
        <v>33</v>
      </c>
      <c r="D217" t="s">
        <v>34</v>
      </c>
      <c r="E217">
        <v>1.46</v>
      </c>
    </row>
    <row r="218" spans="1:5" hidden="1" outlineLevel="1" x14ac:dyDescent="0.25">
      <c r="A218" t="s">
        <v>324</v>
      </c>
      <c r="B218" t="s">
        <v>325</v>
      </c>
      <c r="C218" t="s">
        <v>37</v>
      </c>
      <c r="D218" t="s">
        <v>206</v>
      </c>
      <c r="E218">
        <v>-1.1200000000000001</v>
      </c>
    </row>
    <row r="219" spans="1:5" hidden="1" outlineLevel="1" x14ac:dyDescent="0.25">
      <c r="A219" t="s">
        <v>326</v>
      </c>
      <c r="B219" t="s">
        <v>59</v>
      </c>
      <c r="C219" t="s">
        <v>37</v>
      </c>
      <c r="D219" t="s">
        <v>206</v>
      </c>
      <c r="E219">
        <v>-0.4</v>
      </c>
    </row>
    <row r="220" spans="1:5" collapsed="1" x14ac:dyDescent="0.25">
      <c r="A220" t="s">
        <v>407</v>
      </c>
    </row>
    <row r="221" spans="1:5" hidden="1" outlineLevel="1" x14ac:dyDescent="0.25">
      <c r="A221" t="s">
        <v>327</v>
      </c>
      <c r="B221" t="s">
        <v>328</v>
      </c>
      <c r="C221" t="s">
        <v>152</v>
      </c>
      <c r="D221" t="s">
        <v>9</v>
      </c>
      <c r="E221">
        <v>-5.68</v>
      </c>
    </row>
    <row r="222" spans="1:5" hidden="1" outlineLevel="1" x14ac:dyDescent="0.25">
      <c r="A222" t="s">
        <v>329</v>
      </c>
      <c r="B222" t="s">
        <v>1</v>
      </c>
      <c r="C222" t="s">
        <v>9</v>
      </c>
      <c r="D222" t="s">
        <v>19</v>
      </c>
      <c r="E222">
        <v>-29.29</v>
      </c>
    </row>
    <row r="223" spans="1:5" hidden="1" outlineLevel="1" x14ac:dyDescent="0.25">
      <c r="A223" t="s">
        <v>330</v>
      </c>
      <c r="B223" t="s">
        <v>5</v>
      </c>
      <c r="E223">
        <v>-0.21</v>
      </c>
    </row>
    <row r="224" spans="1:5" hidden="1" outlineLevel="1" x14ac:dyDescent="0.25">
      <c r="A224" t="s">
        <v>331</v>
      </c>
      <c r="B224" t="s">
        <v>11</v>
      </c>
      <c r="C224" t="s">
        <v>332</v>
      </c>
      <c r="E224">
        <v>-3.82</v>
      </c>
    </row>
    <row r="225" spans="1:5" hidden="1" outlineLevel="1" x14ac:dyDescent="0.25">
      <c r="A225" t="s">
        <v>333</v>
      </c>
      <c r="B225" t="s">
        <v>21</v>
      </c>
      <c r="C225" t="s">
        <v>8</v>
      </c>
      <c r="E225">
        <v>-0.54</v>
      </c>
    </row>
    <row r="226" spans="1:5" hidden="1" outlineLevel="1" x14ac:dyDescent="0.25">
      <c r="A226" t="s">
        <v>334</v>
      </c>
      <c r="B226" t="s">
        <v>335</v>
      </c>
      <c r="C226" t="s">
        <v>336</v>
      </c>
      <c r="D226" t="s">
        <v>27</v>
      </c>
      <c r="E226">
        <v>-5.78</v>
      </c>
    </row>
    <row r="227" spans="1:5" hidden="1" outlineLevel="1" x14ac:dyDescent="0.25">
      <c r="A227" t="s">
        <v>337</v>
      </c>
      <c r="B227" t="s">
        <v>338</v>
      </c>
      <c r="C227" t="s">
        <v>3</v>
      </c>
      <c r="D227" t="s">
        <v>27</v>
      </c>
      <c r="E227">
        <v>-1.89</v>
      </c>
    </row>
    <row r="228" spans="1:5" hidden="1" outlineLevel="1" x14ac:dyDescent="0.25">
      <c r="A228" t="s">
        <v>339</v>
      </c>
      <c r="B228" t="s">
        <v>36</v>
      </c>
      <c r="C228" t="s">
        <v>187</v>
      </c>
      <c r="E228">
        <v>-4.8099999999999996</v>
      </c>
    </row>
    <row r="229" spans="1:5" hidden="1" outlineLevel="1" x14ac:dyDescent="0.25">
      <c r="A229" t="s">
        <v>340</v>
      </c>
      <c r="B229" t="s">
        <v>177</v>
      </c>
      <c r="C229" t="s">
        <v>154</v>
      </c>
      <c r="E229">
        <v>-2.13</v>
      </c>
    </row>
    <row r="230" spans="1:5" hidden="1" outlineLevel="1" x14ac:dyDescent="0.25">
      <c r="A230" t="s">
        <v>341</v>
      </c>
      <c r="B230" t="s">
        <v>46</v>
      </c>
      <c r="C230" t="s">
        <v>15</v>
      </c>
      <c r="E230">
        <v>-2.83</v>
      </c>
    </row>
    <row r="231" spans="1:5" collapsed="1" x14ac:dyDescent="0.25">
      <c r="A231" t="s">
        <v>408</v>
      </c>
    </row>
    <row r="232" spans="1:5" hidden="1" outlineLevel="1" x14ac:dyDescent="0.25">
      <c r="A232" t="s">
        <v>342</v>
      </c>
      <c r="B232" t="s">
        <v>343</v>
      </c>
      <c r="C232" t="s">
        <v>37</v>
      </c>
      <c r="D232" t="s">
        <v>206</v>
      </c>
      <c r="E232">
        <v>-25.47</v>
      </c>
    </row>
    <row r="233" spans="1:5" hidden="1" outlineLevel="1" x14ac:dyDescent="0.25">
      <c r="A233" t="s">
        <v>344</v>
      </c>
      <c r="B233" t="s">
        <v>345</v>
      </c>
      <c r="C233" t="s">
        <v>22</v>
      </c>
      <c r="D233" t="s">
        <v>3</v>
      </c>
      <c r="E233">
        <v>-19.29</v>
      </c>
    </row>
    <row r="234" spans="1:5" hidden="1" outlineLevel="1" x14ac:dyDescent="0.25">
      <c r="A234" t="s">
        <v>346</v>
      </c>
      <c r="B234" t="s">
        <v>115</v>
      </c>
      <c r="C234" t="s">
        <v>22</v>
      </c>
      <c r="D234" t="s">
        <v>3</v>
      </c>
      <c r="E234">
        <v>-16.600000000000001</v>
      </c>
    </row>
    <row r="235" spans="1:5" hidden="1" outlineLevel="1" x14ac:dyDescent="0.25">
      <c r="A235" t="s">
        <v>347</v>
      </c>
      <c r="B235" t="s">
        <v>273</v>
      </c>
      <c r="C235" t="s">
        <v>12</v>
      </c>
      <c r="D235" t="s">
        <v>15</v>
      </c>
      <c r="E235">
        <v>-42.61</v>
      </c>
    </row>
    <row r="236" spans="1:5" hidden="1" outlineLevel="1" x14ac:dyDescent="0.25">
      <c r="A236" t="s">
        <v>348</v>
      </c>
      <c r="B236" t="s">
        <v>275</v>
      </c>
      <c r="C236" t="s">
        <v>27</v>
      </c>
      <c r="D236" t="s">
        <v>15</v>
      </c>
      <c r="E236">
        <v>-30.23</v>
      </c>
    </row>
    <row r="237" spans="1:5" hidden="1" outlineLevel="1" x14ac:dyDescent="0.25">
      <c r="A237" t="s">
        <v>144</v>
      </c>
      <c r="B237" t="s">
        <v>349</v>
      </c>
      <c r="E237">
        <v>1.62</v>
      </c>
    </row>
    <row r="238" spans="1:5" hidden="1" outlineLevel="1" x14ac:dyDescent="0.25">
      <c r="A238" t="s">
        <v>350</v>
      </c>
      <c r="B238" t="s">
        <v>351</v>
      </c>
      <c r="C238" t="s">
        <v>27</v>
      </c>
      <c r="D238" t="s">
        <v>28</v>
      </c>
      <c r="E238">
        <v>-3.62</v>
      </c>
    </row>
    <row r="239" spans="1:5" hidden="1" outlineLevel="1" x14ac:dyDescent="0.25">
      <c r="A239" t="s">
        <v>352</v>
      </c>
      <c r="B239" t="s">
        <v>122</v>
      </c>
      <c r="C239" t="s">
        <v>2</v>
      </c>
      <c r="D239" t="s">
        <v>28</v>
      </c>
      <c r="E239">
        <v>-2.81</v>
      </c>
    </row>
    <row r="240" spans="1:5" hidden="1" outlineLevel="1" x14ac:dyDescent="0.25">
      <c r="A240" t="s">
        <v>353</v>
      </c>
      <c r="B240" t="s">
        <v>242</v>
      </c>
      <c r="C240" t="s">
        <v>9</v>
      </c>
      <c r="D240" t="s">
        <v>19</v>
      </c>
      <c r="E240">
        <v>-12.48</v>
      </c>
    </row>
    <row r="241" spans="1:5" hidden="1" outlineLevel="1" x14ac:dyDescent="0.25">
      <c r="A241" t="s">
        <v>354</v>
      </c>
      <c r="B241" t="s">
        <v>186</v>
      </c>
      <c r="C241" t="s">
        <v>22</v>
      </c>
      <c r="D241" t="s">
        <v>19</v>
      </c>
      <c r="E241">
        <v>-10.71</v>
      </c>
    </row>
    <row r="242" spans="1:5" hidden="1" outlineLevel="1" x14ac:dyDescent="0.25">
      <c r="A242" t="s">
        <v>355</v>
      </c>
      <c r="B242" t="s">
        <v>356</v>
      </c>
      <c r="C242" t="s">
        <v>9</v>
      </c>
      <c r="D242" t="s">
        <v>19</v>
      </c>
      <c r="E242">
        <v>-6.67</v>
      </c>
    </row>
    <row r="243" spans="1:5" hidden="1" outlineLevel="1" x14ac:dyDescent="0.25">
      <c r="A243" t="s">
        <v>357</v>
      </c>
      <c r="B243" t="s">
        <v>358</v>
      </c>
      <c r="C243" t="s">
        <v>9</v>
      </c>
      <c r="D243" t="s">
        <v>19</v>
      </c>
      <c r="E243">
        <v>-3.72</v>
      </c>
    </row>
    <row r="244" spans="1:5" hidden="1" outlineLevel="1" x14ac:dyDescent="0.25">
      <c r="A244" t="s">
        <v>359</v>
      </c>
      <c r="B244" t="s">
        <v>360</v>
      </c>
      <c r="C244" t="s">
        <v>2</v>
      </c>
      <c r="D244" t="s">
        <v>3</v>
      </c>
      <c r="E244">
        <v>-20.86</v>
      </c>
    </row>
    <row r="245" spans="1:5" hidden="1" outlineLevel="1" x14ac:dyDescent="0.25">
      <c r="A245" t="s">
        <v>361</v>
      </c>
      <c r="B245" t="s">
        <v>126</v>
      </c>
      <c r="C245" t="s">
        <v>2</v>
      </c>
      <c r="D245" t="s">
        <v>3</v>
      </c>
      <c r="E245">
        <v>-19.100000000000001</v>
      </c>
    </row>
    <row r="246" spans="1:5" hidden="1" outlineLevel="1" x14ac:dyDescent="0.25">
      <c r="A246" t="s">
        <v>362</v>
      </c>
      <c r="B246" t="s">
        <v>246</v>
      </c>
      <c r="C246" t="s">
        <v>9</v>
      </c>
      <c r="D246" t="s">
        <v>19</v>
      </c>
      <c r="E246">
        <v>-2.85</v>
      </c>
    </row>
    <row r="247" spans="1:5" hidden="1" outlineLevel="1" x14ac:dyDescent="0.25">
      <c r="A247" t="s">
        <v>363</v>
      </c>
      <c r="B247" t="s">
        <v>191</v>
      </c>
      <c r="C247" t="s">
        <v>27</v>
      </c>
      <c r="D247" t="s">
        <v>19</v>
      </c>
      <c r="E247">
        <v>-3.94</v>
      </c>
    </row>
    <row r="248" spans="1:5" collapsed="1" x14ac:dyDescent="0.25"/>
  </sheetData>
  <mergeCells count="64">
    <mergeCell ref="A1:E16"/>
    <mergeCell ref="G1:BO1"/>
    <mergeCell ref="H2:S2"/>
    <mergeCell ref="T2:AE2"/>
    <mergeCell ref="AF2:AQ2"/>
    <mergeCell ref="AR2:BO2"/>
    <mergeCell ref="AR3:AU3"/>
    <mergeCell ref="AV3:AY3"/>
    <mergeCell ref="AZ3:BC3"/>
    <mergeCell ref="BD3:BG3"/>
    <mergeCell ref="BU2:CA2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BH3:BK3"/>
    <mergeCell ref="BL3:BO3"/>
    <mergeCell ref="BX3:CA3"/>
    <mergeCell ref="BZ4:CA4"/>
    <mergeCell ref="H7:I7"/>
    <mergeCell ref="J7:K7"/>
    <mergeCell ref="L7:O7"/>
    <mergeCell ref="P7:S7"/>
    <mergeCell ref="T7:U7"/>
    <mergeCell ref="V7:W7"/>
    <mergeCell ref="AR7:AU7"/>
    <mergeCell ref="AV7:AY7"/>
    <mergeCell ref="AZ7:BG7"/>
    <mergeCell ref="BH7:BO7"/>
    <mergeCell ref="H8:S8"/>
    <mergeCell ref="T8:AE8"/>
    <mergeCell ref="AF8:AQ8"/>
    <mergeCell ref="AR8:BO8"/>
    <mergeCell ref="X7:AA7"/>
    <mergeCell ref="AB7:AE7"/>
    <mergeCell ref="AF7:AG7"/>
    <mergeCell ref="AH7:AI7"/>
    <mergeCell ref="AJ7:AM7"/>
    <mergeCell ref="AN7:AQ7"/>
    <mergeCell ref="H12:I12"/>
    <mergeCell ref="L12:M12"/>
    <mergeCell ref="P12:Q12"/>
    <mergeCell ref="T12:U12"/>
    <mergeCell ref="X12:Y12"/>
    <mergeCell ref="G10:AA10"/>
    <mergeCell ref="H11:K11"/>
    <mergeCell ref="L11:O11"/>
    <mergeCell ref="P11:S11"/>
    <mergeCell ref="T11:AA11"/>
    <mergeCell ref="H15:AA15"/>
    <mergeCell ref="H13:I13"/>
    <mergeCell ref="L13:M13"/>
    <mergeCell ref="P13:Q13"/>
    <mergeCell ref="T13:U13"/>
    <mergeCell ref="X13:Y13"/>
    <mergeCell ref="H14:K14"/>
    <mergeCell ref="L14:O14"/>
    <mergeCell ref="P14:S14"/>
    <mergeCell ref="T14:AA14"/>
  </mergeCells>
  <pageMargins left="0.7" right="0.7" top="0.75" bottom="0.75" header="0.3" footer="0.3"/>
  <pageSetup orientation="portrait" horizontalDpi="4294967293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4F5869B-3BB6-444B-849F-FCFCF90EC5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Meet Results</vt:lpstr>
      <vt:lpstr>Sample Meet.pdf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Tyrrellr</dc:creator>
  <cp:lastModifiedBy>Ryan Tyrrell</cp:lastModifiedBy>
  <dcterms:created xsi:type="dcterms:W3CDTF">2024-04-26T20:49:30Z</dcterms:created>
  <dcterms:modified xsi:type="dcterms:W3CDTF">2024-07-26T13:39:38Z</dcterms:modified>
</cp:coreProperties>
</file>